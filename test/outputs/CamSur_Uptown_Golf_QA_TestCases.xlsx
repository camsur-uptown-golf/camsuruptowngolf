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/>
  </bookViews>
  <sheets>
    <sheet name="Dashboard" sheetId="1" r:id="rId1"/>
    <sheet name="Test Cases" sheetId="2" r:id="rId2"/>
    <sheet name="Legend &amp; Scope" sheetId="3" r:id="rId3"/>
  </sheets>
  <definedNames>
    <definedName name="_xlnm._FilterDatabase" localSheetId="1" hidden="1">'Test Cases'!$A$2:$K$148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<sst xmlns="http://schemas.openxmlformats.org/spreadsheetml/2006/main" count="1666" uniqueCount="597">
  <si>
    <t>CAMSUR UPTOWN GOLF CLUB</t>
  </si>
  <si>
    <t>Website QA  ·  Master Test Plan &amp; Test Cases</t>
  </si>
  <si>
    <t>Golf / Main Website  ·  Focused QA  ·  Environment: Opera GX / http://localhost:3000</t>
  </si>
  <si>
    <t>TOTAL TEST CASES</t>
  </si>
  <si>
    <t>QA TASKS COVERED</t>
  </si>
  <si>
    <t>PAGES IN SCOPE</t>
  </si>
  <si>
    <t>BROWSER</t>
  </si>
  <si>
    <t>COVERAGE BY QA TASK</t>
  </si>
  <si>
    <t>#</t>
  </si>
  <si>
    <t>QA Task</t>
  </si>
  <si>
    <t>Test Type</t>
  </si>
  <si>
    <t>Priority</t>
  </si>
  <si>
    <t>Test Cases</t>
  </si>
  <si>
    <t>Review Website Copy and Spelling</t>
  </si>
  <si>
    <t>Content</t>
  </si>
  <si>
    <t>Medium</t>
  </si>
  <si>
    <t>Review Accessibility and Keyboard Navigation</t>
  </si>
  <si>
    <t>Accessibility</t>
  </si>
  <si>
    <t>Test Desktop and Mobile Layouts</t>
  </si>
  <si>
    <t>UI / Responsive</t>
  </si>
  <si>
    <t>High</t>
  </si>
  <si>
    <t>Test Header and Mega Navigation</t>
  </si>
  <si>
    <t>Functional</t>
  </si>
  <si>
    <t>TOTAL</t>
  </si>
  <si>
    <t>EXECUTION STATUS</t>
  </si>
  <si>
    <t>Not Run</t>
  </si>
  <si>
    <t>Pass</t>
  </si>
  <si>
    <t>Fail</t>
  </si>
  <si>
    <t>Skipped</t>
  </si>
  <si>
    <t>% Complete</t>
  </si>
  <si>
    <t>Notes: Focused Opera GX run on 23 September 2026. The workbook contains 146 automated test cases across the four selected QA areas. Results: 121 passed, 24 failed, 1 skipped. A separate CSpell scan checked 15 source files and reported 549 unknown words in 13 files; most are Filipino or project-specific terms and need dictionary review.</t>
  </si>
  <si>
    <t>CAMSUR UPTOWN GOLF CLUB — WEBSITE QA TEST CASES</t>
  </si>
  <si>
    <t>Test Case ID</t>
  </si>
  <si>
    <t>Module / QA Task</t>
  </si>
  <si>
    <t>Test Case Title</t>
  </si>
  <si>
    <t>Type</t>
  </si>
  <si>
    <t>Preconditions</t>
  </si>
  <si>
    <t>Test Steps</t>
  </si>
  <si>
    <t>Test Data</t>
  </si>
  <si>
    <t>Expected Result</t>
  </si>
  <si>
    <t>Status</t>
  </si>
  <si>
    <t>Notes / Actual Result</t>
  </si>
  <si>
    <t>TC-001</t>
  </si>
  <si>
    <t>T01 · Review Website Copy and Spelling</t>
  </si>
  <si>
    <t>Review copy &amp; spelling — Home</t>
  </si>
  <si>
    <t>Site is running at http://localhost:3000</t>
  </si>
  <si>
    <t>1. Open /
2. Read all headings, body copy, buttons and captions
3. Check spelling, grammar, punctuation and terminology (par/metres/naming)</t>
  </si>
  <si>
    <t>/</t>
  </si>
  <si>
    <t>All text is free of typos and grammar errors; terminology is consistent with the brand style.</t>
  </si>
  <si>
    <t>Passed in Opera GX on 23 September 2026.</t>
  </si>
  <si>
    <t>TC-002</t>
  </si>
  <si>
    <t>Review copy &amp; spelling — Golf — Course Overview</t>
  </si>
  <si>
    <t>1. Open /golf
2. Read all headings, body copy, buttons and captions
3. Check spelling, grammar, punctuation and terminology (par/metres/naming)</t>
  </si>
  <si>
    <t>/golf</t>
  </si>
  <si>
    <t>TC-003</t>
  </si>
  <si>
    <t>Review copy &amp; spelling — Golf — Hole No. 1</t>
  </si>
  <si>
    <t>1. Open /golf/courses/hole-no.1
2. Read all headings, body copy, buttons and captions
3. Check spelling, grammar, punctuation and terminology (par/metres/naming)</t>
  </si>
  <si>
    <t>/golf/courses/hole-no.1</t>
  </si>
  <si>
    <t>TC-004</t>
  </si>
  <si>
    <t>Review copy &amp; spelling — Golf — Hole No. 2</t>
  </si>
  <si>
    <t>1. Open /golf/courses/hole-no.2
2. Read all headings, body copy, buttons and captions
3. Check spelling, grammar, punctuation and terminology (par/metres/naming)</t>
  </si>
  <si>
    <t>/golf/courses/hole-no.2</t>
  </si>
  <si>
    <t>TC-005</t>
  </si>
  <si>
    <t>Review copy &amp; spelling — Golf — Hole No. 3</t>
  </si>
  <si>
    <t>1. Open /golf/courses/hole-no.3
2. Read all headings, body copy, buttons and captions
3. Check spelling, grammar, punctuation and terminology (par/metres/naming)</t>
  </si>
  <si>
    <t>/golf/courses/hole-no.3</t>
  </si>
  <si>
    <t>TC-006</t>
  </si>
  <si>
    <t>Review copy &amp; spelling — Golf — Hole No. 4</t>
  </si>
  <si>
    <t>1. Open /golf/courses/hole-no.4
2. Read all headings, body copy, buttons and captions
3. Check spelling, grammar, punctuation and terminology (par/metres/naming)</t>
  </si>
  <si>
    <t>/golf/courses/hole-no.4</t>
  </si>
  <si>
    <t>TC-007</t>
  </si>
  <si>
    <t>Review copy &amp; spelling — Golf — Hole No. 5</t>
  </si>
  <si>
    <t>1. Open /golf/courses/hole-no.5
2. Read all headings, body copy, buttons and captions
3. Check spelling, grammar, punctuation and terminology (par/metres/naming)</t>
  </si>
  <si>
    <t>/golf/courses/hole-no.5</t>
  </si>
  <si>
    <t>TC-008</t>
  </si>
  <si>
    <t>Review copy &amp; spelling — Golf — Hole No. 6</t>
  </si>
  <si>
    <t>1. Open /golf/courses/hole-no.6
2. Read all headings, body copy, buttons and captions
3. Check spelling, grammar, punctuation and terminology (par/metres/naming)</t>
  </si>
  <si>
    <t>/golf/courses/hole-no.6</t>
  </si>
  <si>
    <t>TC-009</t>
  </si>
  <si>
    <t>Review copy &amp; spelling — Golf — Hole No. 7</t>
  </si>
  <si>
    <t>1. Open /golf/courses/hole-no.7
2. Read all headings, body copy, buttons and captions
3. Check spelling, grammar, punctuation and terminology (par/metres/naming)</t>
  </si>
  <si>
    <t>/golf/courses/hole-no.7</t>
  </si>
  <si>
    <t>TC-010</t>
  </si>
  <si>
    <t>Review copy &amp; spelling — Golf — Hole No. 8</t>
  </si>
  <si>
    <t>1. Open /golf/courses/hole-no.8
2. Read all headings, body copy, buttons and captions
3. Check spelling, grammar, punctuation and terminology (par/metres/naming)</t>
  </si>
  <si>
    <t>/golf/courses/hole-no.8</t>
  </si>
  <si>
    <t>TC-011</t>
  </si>
  <si>
    <t>Review copy &amp; spelling — Golf — Hole No. 9</t>
  </si>
  <si>
    <t>1. Open /golf/courses/hole-no.9
2. Read all headings, body copy, buttons and captions
3. Check spelling, grammar, punctuation and terminology (par/metres/naming)</t>
  </si>
  <si>
    <t>/golf/courses/hole-no.9</t>
  </si>
  <si>
    <t>TC-012</t>
  </si>
  <si>
    <t>Review copy &amp; spelling — Golf — Hole No. 10</t>
  </si>
  <si>
    <t>1. Open /golf/courses/hole-no.10
2. Read all headings, body copy, buttons and captions
3. Check spelling, grammar, punctuation and terminology (par/metres/naming)</t>
  </si>
  <si>
    <t>/golf/courses/hole-no.10</t>
  </si>
  <si>
    <t>TC-013</t>
  </si>
  <si>
    <t>Review copy &amp; spelling — Golf — Hole No. 11</t>
  </si>
  <si>
    <t>1. Open /golf/courses/hole-no.11
2. Read all headings, body copy, buttons and captions
3. Check spelling, grammar, punctuation and terminology (par/metres/naming)</t>
  </si>
  <si>
    <t>/golf/courses/hole-no.11</t>
  </si>
  <si>
    <t>TC-014</t>
  </si>
  <si>
    <t>Review copy &amp; spelling — Golf — Hole No. 12</t>
  </si>
  <si>
    <t>1. Open /golf/courses/hole-no.12
2. Read all headings, body copy, buttons and captions
3. Check spelling, grammar, punctuation and terminology (par/metres/naming)</t>
  </si>
  <si>
    <t>/golf/courses/hole-no.12</t>
  </si>
  <si>
    <t>TC-015</t>
  </si>
  <si>
    <t>Review copy &amp; spelling — Golf — Hole No. 13</t>
  </si>
  <si>
    <t>1. Open /golf/courses/hole-no.13
2. Read all headings, body copy, buttons and captions
3. Check spelling, grammar, punctuation and terminology (par/metres/naming)</t>
  </si>
  <si>
    <t>/golf/courses/hole-no.13</t>
  </si>
  <si>
    <t>TC-016</t>
  </si>
  <si>
    <t>Review copy &amp; spelling — Golf — Hole No. 14</t>
  </si>
  <si>
    <t>1. Open /golf/courses/hole-no.14
2. Read all headings, body copy, buttons and captions
3. Check spelling, grammar, punctuation and terminology (par/metres/naming)</t>
  </si>
  <si>
    <t>/golf/courses/hole-no.14</t>
  </si>
  <si>
    <t>TC-017</t>
  </si>
  <si>
    <t>Review copy &amp; spelling — Golf — Hole No. 15</t>
  </si>
  <si>
    <t>1. Open /golf/courses/hole-no.15
2. Read all headings, body copy, buttons and captions
3. Check spelling, grammar, punctuation and terminology (par/metres/naming)</t>
  </si>
  <si>
    <t>/golf/courses/hole-no.15</t>
  </si>
  <si>
    <t>TC-018</t>
  </si>
  <si>
    <t>Review copy &amp; spelling — Golf — Hole No. 16</t>
  </si>
  <si>
    <t>1. Open /golf/courses/hole-no.16
2. Read all headings, body copy, buttons and captions
3. Check spelling, grammar, punctuation and terminology (par/metres/naming)</t>
  </si>
  <si>
    <t>/golf/courses/hole-no.16</t>
  </si>
  <si>
    <t>TC-019</t>
  </si>
  <si>
    <t>Review copy &amp; spelling — Golf — Hole No. 17</t>
  </si>
  <si>
    <t>1. Open /golf/courses/hole-no.17
2. Read all headings, body copy, buttons and captions
3. Check spelling, grammar, punctuation and terminology (par/metres/naming)</t>
  </si>
  <si>
    <t>/golf/courses/hole-no.17</t>
  </si>
  <si>
    <t>TC-020</t>
  </si>
  <si>
    <t>Review copy &amp; spelling — Golf — Hole No. 18</t>
  </si>
  <si>
    <t>1. Open /golf/courses/hole-no.18
2. Read all headings, body copy, buttons and captions
3. Check spelling, grammar, punctuation and terminology (par/metres/naming)</t>
  </si>
  <si>
    <t>/golf/courses/hole-no.18</t>
  </si>
  <si>
    <t>TC-021</t>
  </si>
  <si>
    <t>Review copy &amp; spelling — Clubhouse — Overview</t>
  </si>
  <si>
    <t>1. Open /clubhouse
2. Read all headings, body copy, buttons and captions
3. Check spelling, grammar, punctuation and terminology (par/metres/naming)</t>
  </si>
  <si>
    <t>/clubhouse</t>
  </si>
  <si>
    <t>TC-022</t>
  </si>
  <si>
    <t>Review copy &amp; spelling — Clubhouse — The Arrival Canopy</t>
  </si>
  <si>
    <t>1. Open /clubhouse/the-drum
2. Read all headings, body copy, buttons and captions
3. Check spelling, grammar, punctuation and terminology (par/metres/naming)</t>
  </si>
  <si>
    <t>/clubhouse/the-drum</t>
  </si>
  <si>
    <t>TC-023</t>
  </si>
  <si>
    <t>Review copy &amp; spelling — Clubhouse — The Entrance Hall</t>
  </si>
  <si>
    <t>1. Open /clubhouse/the-hall
2. Read all headings, body copy, buttons and captions
3. Check spelling, grammar, punctuation and terminology (par/metres/naming)</t>
  </si>
  <si>
    <t>/clubhouse/the-hall</t>
  </si>
  <si>
    <t>TC-024</t>
  </si>
  <si>
    <t>Review copy &amp; spelling — Clubhouse — The Golf Shop</t>
  </si>
  <si>
    <t>1. Open /clubhouse/golf-shop
2. Read all headings, body copy, buttons and captions
3. Check spelling, grammar, punctuation and terminology (par/metres/naming)</t>
  </si>
  <si>
    <t>/clubhouse/golf-shop</t>
  </si>
  <si>
    <t>TC-025</t>
  </si>
  <si>
    <t>Review copy &amp; spelling — Clubhouse — Locker Rooms</t>
  </si>
  <si>
    <t>1. Open /clubhouse/locker-rooms
2. Read all headings, body copy, buttons and captions
3. Check spelling, grammar, punctuation and terminology (par/metres/naming)</t>
  </si>
  <si>
    <t>/clubhouse/locker-rooms</t>
  </si>
  <si>
    <t>TC-026</t>
  </si>
  <si>
    <t>Review copy &amp; spelling — Clubhouse — Showers &amp; Wellness</t>
  </si>
  <si>
    <t>1. Open /clubhouse/spa
2. Read all headings, body copy, buttons and captions
3. Check spelling, grammar, punctuation and terminology (par/metres/naming)</t>
  </si>
  <si>
    <t>/clubhouse/spa</t>
  </si>
  <si>
    <t>TC-027</t>
  </si>
  <si>
    <t>Review copy &amp; spelling — Clubhouse — Members' Lounge</t>
  </si>
  <si>
    <t>1. Open /clubhouse/members-lounge
2. Read all headings, body copy, buttons and captions
3. Check spelling, grammar, punctuation and terminology (par/metres/naming)</t>
  </si>
  <si>
    <t>/clubhouse/members-lounge</t>
  </si>
  <si>
    <t>TC-028</t>
  </si>
  <si>
    <t>Review copy &amp; spelling — Clubhouse — Practice Bays</t>
  </si>
  <si>
    <t>1. Open /clubhouse/practice-bays
2. Read all headings, body copy, buttons and captions
3. Check spelling, grammar, punctuation and terminology (par/metres/naming)</t>
  </si>
  <si>
    <t>/clubhouse/practice-bays</t>
  </si>
  <si>
    <t>TC-029</t>
  </si>
  <si>
    <t>Review copy &amp; spelling — Clubhouse — The VIP Wing</t>
  </si>
  <si>
    <t>1. Open /clubhouse/vip
2. Read all headings, body copy, buttons and captions
3. Check spelling, grammar, punctuation and terminology (par/metres/naming)</t>
  </si>
  <si>
    <t>/clubhouse/vip</t>
  </si>
  <si>
    <t>TC-030</t>
  </si>
  <si>
    <t>Review copy &amp; spelling — Clubhouse — The Rooftop</t>
  </si>
  <si>
    <t>1. Open /clubhouse/rooftop
2. Read all headings, body copy, buttons and captions
3. Check spelling, grammar, punctuation and terminology (par/metres/naming)</t>
  </si>
  <si>
    <t>/clubhouse/rooftop</t>
  </si>
  <si>
    <t>TC-031</t>
  </si>
  <si>
    <t>Review copy &amp; spelling — Packages — Overview</t>
  </si>
  <si>
    <t>1. Open /packages
2. Read all headings, body copy, buttons and captions
3. Check spelling, grammar, punctuation and terminology (par/metres/naming)</t>
  </si>
  <si>
    <t>/packages</t>
  </si>
  <si>
    <t>TC-032</t>
  </si>
  <si>
    <t>Review copy &amp; spelling — Packages — Stay and Play</t>
  </si>
  <si>
    <t>1. Open /packages/stay-and-play
2. Read all headings, body copy, buttons and captions
3. Check spelling, grammar, punctuation and terminology (par/metres/naming)</t>
  </si>
  <si>
    <t>/packages/stay-and-play</t>
  </si>
  <si>
    <t>TC-033</t>
  </si>
  <si>
    <t>Review copy &amp; spelling — Packages — Buddy Trip</t>
  </si>
  <si>
    <t>1. Open /packages/buddy-trip
2. Read all headings, body copy, buttons and captions
3. Check spelling, grammar, punctuation and terminology (par/metres/naming)</t>
  </si>
  <si>
    <t>/packages/buddy-trip</t>
  </si>
  <si>
    <t>TC-034</t>
  </si>
  <si>
    <t>Review copy &amp; spelling — Accommodations — Overview</t>
  </si>
  <si>
    <t>1. Open /accommodations
2. Read all headings, body copy, buttons and captions
3. Check spelling, grammar, punctuation and terminology (par/metres/naming)</t>
  </si>
  <si>
    <t>/accommodations</t>
  </si>
  <si>
    <t>TC-035</t>
  </si>
  <si>
    <t>Review copy &amp; spelling — Accommodations — Villa Del Rey</t>
  </si>
  <si>
    <t>1. Open /accommodations/villa-del-rey
2. Read all headings, body copy, buttons and captions
3. Check spelling, grammar, punctuation and terminology (par/metres/naming)</t>
  </si>
  <si>
    <t>/accommodations/villa-del-rey</t>
  </si>
  <si>
    <t>TC-036</t>
  </si>
  <si>
    <t>Review copy &amp; spelling — Accommodations — Gota Village Resort</t>
  </si>
  <si>
    <t>1. Open /accommodations/gota-village-resort
2. Read all headings, body copy, buttons and captions
3. Check spelling, grammar, punctuation and terminology (par/metres/naming)</t>
  </si>
  <si>
    <t>/accommodations/gota-village-resort</t>
  </si>
  <si>
    <t>TC-037</t>
  </si>
  <si>
    <t>Review copy &amp; spelling — Experiences — Overview</t>
  </si>
  <si>
    <t>1. Open /experiences
2. Read all headings, body copy, buttons and captions
3. Check spelling, grammar, punctuation and terminology (par/metres/naming)</t>
  </si>
  <si>
    <t>/experiences</t>
  </si>
  <si>
    <t>TC-038</t>
  </si>
  <si>
    <t>Review copy &amp; spelling — Events</t>
  </si>
  <si>
    <t>1. Open /events
2. Read all headings, body copy, buttons and captions
3. Check spelling, grammar, punctuation and terminology (par/metres/naming)</t>
  </si>
  <si>
    <t>/events</t>
  </si>
  <si>
    <t>TC-039</t>
  </si>
  <si>
    <t>Review copy &amp; spelling — Dining</t>
  </si>
  <si>
    <t>1. Open /dining
2. Read all headings, body copy, buttons and captions
3. Check spelling, grammar, punctuation and terminology (par/metres/naming)</t>
  </si>
  <si>
    <t>/dining</t>
  </si>
  <si>
    <t>TC-040</t>
  </si>
  <si>
    <t>Review copy &amp; spelling — Contact Us</t>
  </si>
  <si>
    <t>1. Open /contact
2. Read all headings, body copy, buttons and captions
3. Check spelling, grammar, punctuation and terminology (par/metres/naming)</t>
  </si>
  <si>
    <t>/contact</t>
  </si>
  <si>
    <t>TC-041</t>
  </si>
  <si>
    <t>Review copy &amp; spelling — Plan Your Visit</t>
  </si>
  <si>
    <t>1. Open /plan-your-visit
2. Read all headings, body copy, buttons and captions
3. Check spelling, grammar, punctuation and terminology (par/metres/naming)</t>
  </si>
  <si>
    <t>/plan-your-visit</t>
  </si>
  <si>
    <t>TC-042</t>
  </si>
  <si>
    <t>Review copy &amp; spelling — Terms of Use</t>
  </si>
  <si>
    <t>1. Open /terms-of-use
2. Read all headings, body copy, buttons and captions
3. Check spelling, grammar, punctuation and terminology (par/metres/naming)</t>
  </si>
  <si>
    <t>/terms-of-use</t>
  </si>
  <si>
    <t>TC-107</t>
  </si>
  <si>
    <t>T03 · Test Desktop and Mobile Layouts</t>
  </si>
  <si>
    <t>Responsive — Home @ Mobile S (320×568)</t>
  </si>
  <si>
    <t>1. Set viewport to 320×568
2. Open a representative Home page
3. Inspect layout, spacing, images and tap targets
4. Confirm no horizontal scroll or overlap</t>
  </si>
  <si>
    <t>Mobile S 320×568</t>
  </si>
  <si>
    <t>Layout adapts correctly: no overflow/clipping, images scale, text is legible, tap targets ≥ 44px.</t>
  </si>
  <si>
    <t>Failed visual regression: the Opera GX screenshot differed from the approved baseline.</t>
  </si>
  <si>
    <t>TC-108</t>
  </si>
  <si>
    <t>Responsive — Home @ Mobile L (414×896)</t>
  </si>
  <si>
    <t>1. Set viewport to 414×896
2. Open a representative Home page
3. Inspect layout, spacing, images and tap targets
4. Confirm no horizontal scroll or overlap</t>
  </si>
  <si>
    <t>Mobile L 414×896</t>
  </si>
  <si>
    <t>TC-109</t>
  </si>
  <si>
    <t>Responsive — Home @ Tablet (768×1024)</t>
  </si>
  <si>
    <t>1. Set viewport to 768×1024
2. Open a representative Home page
3. Inspect layout, spacing, images and tap targets
4. Confirm no horizontal scroll or overlap</t>
  </si>
  <si>
    <t>Tablet 768×1024</t>
  </si>
  <si>
    <t>TC-110</t>
  </si>
  <si>
    <t>Responsive — Home @ Desktop (1440×900)</t>
  </si>
  <si>
    <t>1. Set viewport to 1440×900
2. Open a representative Home page
3. Inspect layout, spacing, images and tap targets
4. Confirm no horizontal scroll or overlap</t>
  </si>
  <si>
    <t>Desktop 1440×900</t>
  </si>
  <si>
    <t>TC-111</t>
  </si>
  <si>
    <t>Responsive — Golf — Course Overview @ Mobile S (320×568)</t>
  </si>
  <si>
    <t>1. Set viewport to 320×568
2. Open a representative Golf — Course Overview page
3. Inspect layout, spacing, images and tap targets
4. Confirm no horizontal scroll or overlap</t>
  </si>
  <si>
    <t>TC-112</t>
  </si>
  <si>
    <t>Responsive — Golf — Course Overview @ Mobile L (414×896)</t>
  </si>
  <si>
    <t>1. Set viewport to 414×896
2. Open a representative Golf — Course Overview page
3. Inspect layout, spacing, images and tap targets
4. Confirm no horizontal scroll or overlap</t>
  </si>
  <si>
    <t>TC-113</t>
  </si>
  <si>
    <t>Responsive — Golf — Course Overview @ Tablet (768×1024)</t>
  </si>
  <si>
    <t>1. Set viewport to 768×1024
2. Open a representative Golf — Course Overview page
3. Inspect layout, spacing, images and tap targets
4. Confirm no horizontal scroll or overlap</t>
  </si>
  <si>
    <t>TC-114</t>
  </si>
  <si>
    <t>Responsive — Golf — Course Overview @ Desktop (1440×900)</t>
  </si>
  <si>
    <t>1. Set viewport to 1440×900
2. Open a representative Golf — Course Overview page
3. Inspect layout, spacing, images and tap targets
4. Confirm no horizontal scroll or overlap</t>
  </si>
  <si>
    <t>TC-115</t>
  </si>
  <si>
    <t>Responsive — Golf — Hole Page @ Mobile S (320×568)</t>
  </si>
  <si>
    <t>1. Set viewport to 320×568
2. Open a representative Golf — Hole Page page
3. Inspect layout, spacing, images and tap targets
4. Confirm no horizontal scroll or overlap</t>
  </si>
  <si>
    <t>TC-116</t>
  </si>
  <si>
    <t>Responsive — Golf — Hole Page @ Mobile L (414×896)</t>
  </si>
  <si>
    <t>1. Set viewport to 414×896
2. Open a representative Golf — Hole Page page
3. Inspect layout, spacing, images and tap targets
4. Confirm no horizontal scroll or overlap</t>
  </si>
  <si>
    <t>TC-117</t>
  </si>
  <si>
    <t>Responsive — Golf — Hole Page @ Tablet (768×1024)</t>
  </si>
  <si>
    <t>1. Set viewport to 768×1024
2. Open a representative Golf — Hole Page page
3. Inspect layout, spacing, images and tap targets
4. Confirm no horizontal scroll or overlap</t>
  </si>
  <si>
    <t>TC-118</t>
  </si>
  <si>
    <t>Responsive — Golf — Hole Page @ Desktop (1440×900)</t>
  </si>
  <si>
    <t>1. Set viewport to 1440×900
2. Open a representative Golf — Hole Page page
3. Inspect layout, spacing, images and tap targets
4. Confirm no horizontal scroll or overlap</t>
  </si>
  <si>
    <t>TC-119</t>
  </si>
  <si>
    <t>Responsive — Clubhouse — Overview @ Mobile S (320×568)</t>
  </si>
  <si>
    <t>1. Set viewport to 320×568
2. Open a representative Clubhouse — Overview page
3. Inspect layout, spacing, images and tap targets
4. Confirm no horizontal scroll or overlap</t>
  </si>
  <si>
    <t>TC-120</t>
  </si>
  <si>
    <t>Responsive — Clubhouse — Overview @ Mobile L (414×896)</t>
  </si>
  <si>
    <t>1. Set viewport to 414×896
2. Open a representative Clubhouse — Overview page
3. Inspect layout, spacing, images and tap targets
4. Confirm no horizontal scroll or overlap</t>
  </si>
  <si>
    <t>TC-121</t>
  </si>
  <si>
    <t>Responsive — Clubhouse — Overview @ Tablet (768×1024)</t>
  </si>
  <si>
    <t>1. Set viewport to 768×1024
2. Open a representative Clubhouse — Overview page
3. Inspect layout, spacing, images and tap targets
4. Confirm no horizontal scroll or overlap</t>
  </si>
  <si>
    <t>TC-122</t>
  </si>
  <si>
    <t>Responsive — Clubhouse — Overview @ Desktop (1440×900)</t>
  </si>
  <si>
    <t>1. Set viewport to 1440×900
2. Open a representative Clubhouse — Overview page
3. Inspect layout, spacing, images and tap targets
4. Confirm no horizontal scroll or overlap</t>
  </si>
  <si>
    <t>TC-123</t>
  </si>
  <si>
    <t>Responsive — Clubhouse — Detail @ Mobile S (320×568)</t>
  </si>
  <si>
    <t>1. Set viewport to 320×568
2. Open a representative Clubhouse — Detail page
3. Inspect layout, spacing, images and tap targets
4. Confirm no horizontal scroll or overlap</t>
  </si>
  <si>
    <t>TC-124</t>
  </si>
  <si>
    <t>Responsive — Clubhouse — Detail @ Mobile L (414×896)</t>
  </si>
  <si>
    <t>1. Set viewport to 414×896
2. Open a representative Clubhouse — Detail page
3. Inspect layout, spacing, images and tap targets
4. Confirm no horizontal scroll or overlap</t>
  </si>
  <si>
    <t>TC-125</t>
  </si>
  <si>
    <t>Responsive — Clubhouse — Detail @ Tablet (768×1024)</t>
  </si>
  <si>
    <t>1. Set viewport to 768×1024
2. Open a representative Clubhouse — Detail page
3. Inspect layout, spacing, images and tap targets
4. Confirm no horizontal scroll or overlap</t>
  </si>
  <si>
    <t>TC-126</t>
  </si>
  <si>
    <t>Responsive — Clubhouse — Detail @ Desktop (1440×900)</t>
  </si>
  <si>
    <t>1. Set viewport to 1440×900
2. Open a representative Clubhouse — Detail page
3. Inspect layout, spacing, images and tap targets
4. Confirm no horizontal scroll or overlap</t>
  </si>
  <si>
    <t>TC-127</t>
  </si>
  <si>
    <t>Responsive — Packages — Overview @ Mobile S (320×568)</t>
  </si>
  <si>
    <t>1. Set viewport to 320×568
2. Open a representative Packages — Overview page
3. Inspect layout, spacing, images and tap targets
4. Confirm no horizontal scroll or overlap</t>
  </si>
  <si>
    <t>TC-128</t>
  </si>
  <si>
    <t>Responsive — Packages — Overview @ Mobile L (414×896)</t>
  </si>
  <si>
    <t>1. Set viewport to 414×896
2. Open a representative Packages — Overview page
3. Inspect layout, spacing, images and tap targets
4. Confirm no horizontal scroll or overlap</t>
  </si>
  <si>
    <t>TC-129</t>
  </si>
  <si>
    <t>Responsive — Packages — Overview @ Tablet (768×1024)</t>
  </si>
  <si>
    <t>1. Set viewport to 768×1024
2. Open a representative Packages — Overview page
3. Inspect layout, spacing, images and tap targets
4. Confirm no horizontal scroll or overlap</t>
  </si>
  <si>
    <t>TC-130</t>
  </si>
  <si>
    <t>Responsive — Packages — Overview @ Desktop (1440×900)</t>
  </si>
  <si>
    <t>1. Set viewport to 1440×900
2. Open a representative Packages — Overview page
3. Inspect layout, spacing, images and tap targets
4. Confirm no horizontal scroll or overlap</t>
  </si>
  <si>
    <t>TC-131</t>
  </si>
  <si>
    <t>Responsive — Packages — Detail @ Mobile S (320×568)</t>
  </si>
  <si>
    <t>1. Set viewport to 320×568
2. Open a representative Packages — Detail page
3. Inspect layout, spacing, images and tap targets
4. Confirm no horizontal scroll or overlap</t>
  </si>
  <si>
    <t>TC-132</t>
  </si>
  <si>
    <t>Responsive — Packages — Detail @ Mobile L (414×896)</t>
  </si>
  <si>
    <t>1. Set viewport to 414×896
2. Open a representative Packages — Detail page
3. Inspect layout, spacing, images and tap targets
4. Confirm no horizontal scroll or overlap</t>
  </si>
  <si>
    <t>TC-133</t>
  </si>
  <si>
    <t>Responsive — Packages — Detail @ Tablet (768×1024)</t>
  </si>
  <si>
    <t>1. Set viewport to 768×1024
2. Open a representative Packages — Detail page
3. Inspect layout, spacing, images and tap targets
4. Confirm no horizontal scroll or overlap</t>
  </si>
  <si>
    <t>TC-134</t>
  </si>
  <si>
    <t>Responsive — Packages — Detail @ Desktop (1440×900)</t>
  </si>
  <si>
    <t>1. Set viewport to 1440×900
2. Open a representative Packages — Detail page
3. Inspect layout, spacing, images and tap targets
4. Confirm no horizontal scroll or overlap</t>
  </si>
  <si>
    <t>TC-135</t>
  </si>
  <si>
    <t>Responsive — Accommodations — Overview @ Mobile S (320×568)</t>
  </si>
  <si>
    <t>1. Set viewport to 320×568
2. Open a representative Accommodations — Overview page
3. Inspect layout, spacing, images and tap targets
4. Confirm no horizontal scroll or overlap</t>
  </si>
  <si>
    <t>TC-136</t>
  </si>
  <si>
    <t>Responsive — Accommodations — Overview @ Mobile L (414×896)</t>
  </si>
  <si>
    <t>1. Set viewport to 414×896
2. Open a representative Accommodations — Overview page
3. Inspect layout, spacing, images and tap targets
4. Confirm no horizontal scroll or overlap</t>
  </si>
  <si>
    <t>TC-137</t>
  </si>
  <si>
    <t>Responsive — Accommodations — Overview @ Tablet (768×1024)</t>
  </si>
  <si>
    <t>1. Set viewport to 768×1024
2. Open a representative Accommodations — Overview page
3. Inspect layout, spacing, images and tap targets
4. Confirm no horizontal scroll or overlap</t>
  </si>
  <si>
    <t>TC-138</t>
  </si>
  <si>
    <t>Responsive — Accommodations — Overview @ Desktop (1440×900)</t>
  </si>
  <si>
    <t>1. Set viewport to 1440×900
2. Open a representative Accommodations — Overview page
3. Inspect layout, spacing, images and tap targets
4. Confirm no horizontal scroll or overlap</t>
  </si>
  <si>
    <t>TC-139</t>
  </si>
  <si>
    <t>Responsive — Accommodations — Detail @ Mobile S (320×568)</t>
  </si>
  <si>
    <t>1. Set viewport to 320×568
2. Open a representative Accommodations — Detail page
3. Inspect layout, spacing, images and tap targets
4. Confirm no horizontal scroll or overlap</t>
  </si>
  <si>
    <t>TC-140</t>
  </si>
  <si>
    <t>Responsive — Accommodations — Detail @ Mobile L (414×896)</t>
  </si>
  <si>
    <t>1. Set viewport to 414×896
2. Open a representative Accommodations — Detail page
3. Inspect layout, spacing, images and tap targets
4. Confirm no horizontal scroll or overlap</t>
  </si>
  <si>
    <t>TC-141</t>
  </si>
  <si>
    <t>Responsive — Accommodations — Detail @ Tablet (768×1024)</t>
  </si>
  <si>
    <t>1. Set viewport to 768×1024
2. Open a representative Accommodations — Detail page
3. Inspect layout, spacing, images and tap targets
4. Confirm no horizontal scroll or overlap</t>
  </si>
  <si>
    <t>TC-142</t>
  </si>
  <si>
    <t>Responsive — Accommodations — Detail @ Desktop (1440×900)</t>
  </si>
  <si>
    <t>1. Set viewport to 1440×900
2. Open a representative Accommodations — Detail page
3. Inspect layout, spacing, images and tap targets
4. Confirm no horizontal scroll or overlap</t>
  </si>
  <si>
    <t>TC-143</t>
  </si>
  <si>
    <t>Responsive — Experiences @ Mobile S (320×568)</t>
  </si>
  <si>
    <t>1. Set viewport to 320×568
2. Open a representative Experiences page
3. Inspect layout, spacing, images and tap targets
4. Confirm no horizontal scroll or overlap</t>
  </si>
  <si>
    <t>TC-144</t>
  </si>
  <si>
    <t>Responsive — Experiences @ Mobile L (414×896)</t>
  </si>
  <si>
    <t>1. Set viewport to 414×896
2. Open a representative Experiences page
3. Inspect layout, spacing, images and tap targets
4. Confirm no horizontal scroll or overlap</t>
  </si>
  <si>
    <t>TC-145</t>
  </si>
  <si>
    <t>Responsive — Experiences @ Tablet (768×1024)</t>
  </si>
  <si>
    <t>1. Set viewport to 768×1024
2. Open a representative Experiences page
3. Inspect layout, spacing, images and tap targets
4. Confirm no horizontal scroll or overlap</t>
  </si>
  <si>
    <t>TC-146</t>
  </si>
  <si>
    <t>Responsive — Experiences @ Desktop (1440×900)</t>
  </si>
  <si>
    <t>1. Set viewport to 1440×900
2. Open a representative Experiences page
3. Inspect layout, spacing, images and tap targets
4. Confirm no horizontal scroll or overlap</t>
  </si>
  <si>
    <t>TC-147</t>
  </si>
  <si>
    <t>Responsive — Events @ Mobile S (320×568)</t>
  </si>
  <si>
    <t>1. Set viewport to 320×568
2. Open a representative Events page
3. Inspect layout, spacing, images and tap targets
4. Confirm no horizontal scroll or overlap</t>
  </si>
  <si>
    <t>TC-148</t>
  </si>
  <si>
    <t>Responsive — Events @ Mobile L (414×896)</t>
  </si>
  <si>
    <t>1. Set viewport to 414×896
2. Open a representative Events page
3. Inspect layout, spacing, images and tap targets
4. Confirm no horizontal scroll or overlap</t>
  </si>
  <si>
    <t>TC-149</t>
  </si>
  <si>
    <t>Responsive — Events @ Tablet (768×1024)</t>
  </si>
  <si>
    <t>1. Set viewport to 768×1024
2. Open a representative Events page
3. Inspect layout, spacing, images and tap targets
4. Confirm no horizontal scroll or overlap</t>
  </si>
  <si>
    <t>TC-150</t>
  </si>
  <si>
    <t>Responsive — Events @ Desktop (1440×900)</t>
  </si>
  <si>
    <t>1. Set viewport to 1440×900
2. Open a representative Events page
3. Inspect layout, spacing, images and tap targets
4. Confirm no horizontal scroll or overlap</t>
  </si>
  <si>
    <t>TC-151</t>
  </si>
  <si>
    <t>Responsive — Dining @ Mobile S (320×568)</t>
  </si>
  <si>
    <t>1. Set viewport to 320×568
2. Open a representative Dining page
3. Inspect layout, spacing, images and tap targets
4. Confirm no horizontal scroll or overlap</t>
  </si>
  <si>
    <t>TC-152</t>
  </si>
  <si>
    <t>Responsive — Dining @ Mobile L (414×896)</t>
  </si>
  <si>
    <t>1. Set viewport to 414×896
2. Open a representative Dining page
3. Inspect layout, spacing, images and tap targets
4. Confirm no horizontal scroll or overlap</t>
  </si>
  <si>
    <t>TC-153</t>
  </si>
  <si>
    <t>Responsive — Dining @ Tablet (768×1024)</t>
  </si>
  <si>
    <t>1. Set viewport to 768×1024
2. Open a representative Dining page
3. Inspect layout, spacing, images and tap targets
4. Confirm no horizontal scroll or overlap</t>
  </si>
  <si>
    <t>TC-154</t>
  </si>
  <si>
    <t>Responsive — Dining @ Desktop (1440×900)</t>
  </si>
  <si>
    <t>1. Set viewport to 1440×900
2. Open a representative Dining page
3. Inspect layout, spacing, images and tap targets
4. Confirm no horizontal scroll or overlap</t>
  </si>
  <si>
    <t>TC-155</t>
  </si>
  <si>
    <t>Responsive — Contact / Plan-Your-Visit (Form) @ Mobile S (320×568)</t>
  </si>
  <si>
    <t>1. Set viewport to 320×568
2. Open a representative Contact / Plan-Your-Visit (Form) page
3. Inspect layout, spacing, images and tap targets
4. Confirm no horizontal scroll or overlap</t>
  </si>
  <si>
    <t>TC-156</t>
  </si>
  <si>
    <t>Responsive — Contact / Plan-Your-Visit (Form) @ Mobile L (414×896)</t>
  </si>
  <si>
    <t>1. Set viewport to 414×896
2. Open a representative Contact / Plan-Your-Visit (Form) page
3. Inspect layout, spacing, images and tap targets
4. Confirm no horizontal scroll or overlap</t>
  </si>
  <si>
    <t>TC-157</t>
  </si>
  <si>
    <t>Responsive — Contact / Plan-Your-Visit (Form) @ Tablet (768×1024)</t>
  </si>
  <si>
    <t>1. Set viewport to 768×1024
2. Open a representative Contact / Plan-Your-Visit (Form) page
3. Inspect layout, spacing, images and tap targets
4. Confirm no horizontal scroll or overlap</t>
  </si>
  <si>
    <t>TC-158</t>
  </si>
  <si>
    <t>Responsive — Contact / Plan-Your-Visit (Form) @ Desktop (1440×900)</t>
  </si>
  <si>
    <t>1. Set viewport to 1440×900
2. Open a representative Contact / Plan-Your-Visit (Form) page
3. Inspect layout, spacing, images and tap targets
4. Confirm no horizontal scroll or overlap</t>
  </si>
  <si>
    <t>TC-159</t>
  </si>
  <si>
    <t>Responsive — Terms of Use @ Mobile S (320×568)</t>
  </si>
  <si>
    <t>1. Set viewport to 320×568
2. Open a representative Terms of Use page
3. Inspect layout, spacing, images and tap targets
4. Confirm no horizontal scroll or overlap</t>
  </si>
  <si>
    <t>Failed in Opera GX: horizontal overflow exceeded 2 px at 320×568.</t>
  </si>
  <si>
    <t>TC-160</t>
  </si>
  <si>
    <t>Responsive — Terms of Use @ Mobile L (414×896)</t>
  </si>
  <si>
    <t>1. Set viewport to 414×896
2. Open a representative Terms of Use page
3. Inspect layout, spacing, images and tap targets
4. Confirm no horizontal scroll or overlap</t>
  </si>
  <si>
    <t>TC-161</t>
  </si>
  <si>
    <t>Responsive — Terms of Use @ Tablet (768×1024)</t>
  </si>
  <si>
    <t>1. Set viewport to 768×1024
2. Open a representative Terms of Use page
3. Inspect layout, spacing, images and tap targets
4. Confirm no horizontal scroll or overlap</t>
  </si>
  <si>
    <t>TC-162</t>
  </si>
  <si>
    <t>Responsive — Terms of Use @ Desktop (1440×900)</t>
  </si>
  <si>
    <t>1. Set viewport to 1440×900
2. Open a representative Terms of Use page
3. Inspect layout, spacing, images and tap targets
4. Confirm no horizontal scroll or overlap</t>
  </si>
  <si>
    <t>TC-163</t>
  </si>
  <si>
    <t>T04 · Test Header and Mega Navigation</t>
  </si>
  <si>
    <t>Mega-menu opens — GOLF</t>
  </si>
  <si>
    <t>1. Click the 'GOLF' trigger in the header
2. Observe the panel</t>
  </si>
  <si>
    <t>N/A</t>
  </si>
  <si>
    <t>The GOLF mega-menu panel opens and displays its correct set of links.</t>
  </si>
  <si>
    <t>TC-164</t>
  </si>
  <si>
    <t>Mega-menu contents correct — GOLF</t>
  </si>
  <si>
    <t>1. Open the 'GOLF' menu
2. Compare its links against the sitemap</t>
  </si>
  <si>
    <t>All expected GOLF items are present, correctly labelled and ordered.</t>
  </si>
  <si>
    <t>TC-165</t>
  </si>
  <si>
    <t>Mega-menu closes — GOLF</t>
  </si>
  <si>
    <t>1. Open the 'GOLF' menu
2. Press Esc, then re-open and click outside the panel</t>
  </si>
  <si>
    <t>Menu closes on Esc and on outside click; only one menu is open at a time.</t>
  </si>
  <si>
    <t>TC-166</t>
  </si>
  <si>
    <t>Mega-menu opens — CLUBHOUSE</t>
  </si>
  <si>
    <t>1. Click the 'CLUBHOUSE' trigger in the header
2. Observe the panel</t>
  </si>
  <si>
    <t>The CLUBHOUSE mega-menu panel opens and displays its correct set of links.</t>
  </si>
  <si>
    <t>TC-167</t>
  </si>
  <si>
    <t>Mega-menu contents correct — CLUBHOUSE</t>
  </si>
  <si>
    <t>1. Open the 'CLUBHOUSE' menu
2. Compare its links against the sitemap</t>
  </si>
  <si>
    <t>All expected CLUBHOUSE items are present, correctly labelled and ordered.</t>
  </si>
  <si>
    <t>TC-168</t>
  </si>
  <si>
    <t>Mega-menu closes — CLUBHOUSE</t>
  </si>
  <si>
    <t>1. Open the 'CLUBHOUSE' menu
2. Press Esc, then re-open and click outside the panel</t>
  </si>
  <si>
    <t>TC-169</t>
  </si>
  <si>
    <t>Mega-menu opens — PACKAGES</t>
  </si>
  <si>
    <t>1. Click the 'PACKAGES' trigger in the header
2. Observe the panel</t>
  </si>
  <si>
    <t>The PACKAGES mega-menu panel opens and displays its correct set of links.</t>
  </si>
  <si>
    <t>TC-170</t>
  </si>
  <si>
    <t>Mega-menu contents correct — PACKAGES</t>
  </si>
  <si>
    <t>1. Open the 'PACKAGES' menu
2. Compare its links against the sitemap</t>
  </si>
  <si>
    <t>All expected PACKAGES items are present, correctly labelled and ordered.</t>
  </si>
  <si>
    <t>TC-171</t>
  </si>
  <si>
    <t>Mega-menu closes — PACKAGES</t>
  </si>
  <si>
    <t>1. Open the 'PACKAGES' menu
2. Press Esc, then re-open and click outside the panel</t>
  </si>
  <si>
    <t>TC-172</t>
  </si>
  <si>
    <t>Mega-menu opens — ACCOMMODATIONS</t>
  </si>
  <si>
    <t>1. Click the 'ACCOMMODATIONS' trigger in the header
2. Observe the panel</t>
  </si>
  <si>
    <t>The ACCOMMODATIONS mega-menu panel opens and displays its correct set of links.</t>
  </si>
  <si>
    <t>TC-173</t>
  </si>
  <si>
    <t>Mega-menu contents correct — ACCOMMODATIONS</t>
  </si>
  <si>
    <t>1. Open the 'ACCOMMODATIONS' menu
2. Compare its links against the sitemap</t>
  </si>
  <si>
    <t>All expected ACCOMMODATIONS items are present, correctly labelled and ordered.</t>
  </si>
  <si>
    <t>TC-174</t>
  </si>
  <si>
    <t>Mega-menu closes — ACCOMMODATIONS</t>
  </si>
  <si>
    <t>1. Open the 'ACCOMMODATIONS' menu
2. Press Esc, then re-open and click outside the panel</t>
  </si>
  <si>
    <t>TC-175</t>
  </si>
  <si>
    <t>Mega-menu opens — EXPERIENCES</t>
  </si>
  <si>
    <t>1. Click the 'EXPERIENCES' trigger in the header
2. Observe the panel</t>
  </si>
  <si>
    <t>The EXPERIENCES mega-menu panel opens and displays its correct set of links.</t>
  </si>
  <si>
    <t>TC-176</t>
  </si>
  <si>
    <t>Mega-menu contents correct — EXPERIENCES</t>
  </si>
  <si>
    <t>1. Open the 'EXPERIENCES' menu
2. Compare its links against the sitemap</t>
  </si>
  <si>
    <t>All expected EXPERIENCES items are present, correctly labelled and ordered.</t>
  </si>
  <si>
    <t>TC-177</t>
  </si>
  <si>
    <t>Mega-menu closes — EXPERIENCES</t>
  </si>
  <si>
    <t>1. Open the 'EXPERIENCES' menu
2. Press Esc, then re-open and click outside the panel</t>
  </si>
  <si>
    <t>TC-178</t>
  </si>
  <si>
    <t>Mega-menu opens — EVENTS</t>
  </si>
  <si>
    <t>1. Click the 'EVENTS' trigger in the header
2. Observe the panel</t>
  </si>
  <si>
    <t>The EVENTS mega-menu panel opens and displays its correct set of links.</t>
  </si>
  <si>
    <t>TC-179</t>
  </si>
  <si>
    <t>Mega-menu contents correct — EVENTS</t>
  </si>
  <si>
    <t>1. Open the 'EVENTS' menu
2. Compare its links against the sitemap</t>
  </si>
  <si>
    <t>All expected EVENTS items are present, correctly labelled and ordered.</t>
  </si>
  <si>
    <t>TC-180</t>
  </si>
  <si>
    <t>Mega-menu closes — EVENTS</t>
  </si>
  <si>
    <t>1. Open the 'EVENTS' menu
2. Press Esc, then re-open and click outside the panel</t>
  </si>
  <si>
    <t>TC-181</t>
  </si>
  <si>
    <t>Mobile — hamburger opens drawer</t>
  </si>
  <si>
    <t>1. Tap the hamburger icon at 375px width
2. Observe behaviour</t>
  </si>
  <si>
    <t>375px width</t>
  </si>
  <si>
    <t>Slide-in nav drawer opens and locks body scroll.</t>
  </si>
  <si>
    <t>Failed navigation check: the expected mobile drawer or submenu remained hidden.</t>
  </si>
  <si>
    <t>TC-182</t>
  </si>
  <si>
    <t>Mobile — hamburger closes drawer</t>
  </si>
  <si>
    <t>1. Open the drawer, then tap the close/X or overlay
2. Observe behaviour</t>
  </si>
  <si>
    <t>Drawer closes and body scroll is restored.</t>
  </si>
  <si>
    <t>TC-183</t>
  </si>
  <si>
    <t>Mobile — submenu expand/collapse</t>
  </si>
  <si>
    <t>1. Open drawer, tap a section (e.g. GOLF)
2. Observe behaviour</t>
  </si>
  <si>
    <t>Submenu expands to reveal children and collapses on second tap.</t>
  </si>
  <si>
    <t>TC-184</t>
  </si>
  <si>
    <t>Mobile — navigate then auto-close</t>
  </si>
  <si>
    <t>1. Open drawer, tap a link
2. Observe behaviour</t>
  </si>
  <si>
    <t>App navigates and the drawer closes automatically.</t>
  </si>
  <si>
    <t>TC-185</t>
  </si>
  <si>
    <t>Mobile — GOLF holes list scrolls</t>
  </si>
  <si>
    <t>1. Open GOLF submenu on mobile
2. Observe behaviour</t>
  </si>
  <si>
    <t>All 18 holes are reachable via internal scroll.</t>
  </si>
  <si>
    <t>TC-186</t>
  </si>
  <si>
    <t>Mobile — tel link triggers dialer</t>
  </si>
  <si>
    <t>1. Tap the phone number in the mobile header
2. Observe behaviour</t>
  </si>
  <si>
    <t>Device dialer opens with +639163007914.</t>
  </si>
  <si>
    <t>TC-187</t>
  </si>
  <si>
    <t>Header sticky on scroll</t>
  </si>
  <si>
    <t>1. Scroll the homepage down and back up
2. Observe behaviour</t>
  </si>
  <si>
    <t>Header remains fixed/sticky and legible over content.</t>
  </si>
  <si>
    <t>TC-188</t>
  </si>
  <si>
    <t>Logo returns to Home</t>
  </si>
  <si>
    <t>1. Click the club logo from any interior page
2. Observe behaviour</t>
  </si>
  <si>
    <t>Navigates to / (Home).</t>
  </si>
  <si>
    <t>TC-189</t>
  </si>
  <si>
    <t>Plan-your-visit CTA</t>
  </si>
  <si>
    <t>1. Click 'Plan your visit' in the header
2. Observe behaviour</t>
  </si>
  <si>
    <t>Navigates to /plan-your-visit.</t>
  </si>
  <si>
    <t>TC-190</t>
  </si>
  <si>
    <t>Active state on current section</t>
  </si>
  <si>
    <t>1. Navigate to /golf and inspect the header
2. Observe behaviour</t>
  </si>
  <si>
    <t>The corresponding menu shows an active/current style.</t>
  </si>
  <si>
    <t>TC-191</t>
  </si>
  <si>
    <t>Scroll-lock while menu open</t>
  </si>
  <si>
    <t>1. Open a mega-menu on desktop and scroll
2. Observe behaviour</t>
  </si>
  <si>
    <t>Background scroll is prevented while the panel is open.</t>
  </si>
  <si>
    <t>Failed navigation check: the expected menu element was not uniquely visible; selector refinement is needed.</t>
  </si>
  <si>
    <t>TC-192</t>
  </si>
  <si>
    <t>Keyboard opens mega-menu</t>
  </si>
  <si>
    <t>1. Tab to a menu trigger and press Enter/Space
2. Observe behaviour</t>
  </si>
  <si>
    <t>Menu opens and focus moves into the panel.</t>
  </si>
  <si>
    <t>TC-289</t>
  </si>
  <si>
    <t>T10 · Review Accessibility and Keyboard Navigation</t>
  </si>
  <si>
    <t>Keyboard-only navigation (global)</t>
  </si>
  <si>
    <t>1. Using Tab/Shift+Tab only, traverse the homepage
2. Record the result</t>
  </si>
  <si>
    <t>All interactive elements are reachable in a logical order; nothing is keyboard-trapped.</t>
  </si>
  <si>
    <t>TC-290</t>
  </si>
  <si>
    <t>Visible focus indicators</t>
  </si>
  <si>
    <t>1. Tab through links, buttons and fields
2. Record the result</t>
  </si>
  <si>
    <t>Every focusable element shows a clearly visible focus style.</t>
  </si>
  <si>
    <t>TC-291</t>
  </si>
  <si>
    <t>Skip-to-content link</t>
  </si>
  <si>
    <t>1. Load a page and press Tab once
2. Record the result</t>
  </si>
  <si>
    <t>A 'skip to content' link is available and works.</t>
  </si>
  <si>
    <t>Skipped: no skip-to-content link was found.</t>
  </si>
  <si>
    <t>TC-292</t>
  </si>
  <si>
    <t>Mega-menu keyboard operation</t>
  </si>
  <si>
    <t>1. Open and traverse a mega-menu with the keyboard
2. Record the result</t>
  </si>
  <si>
    <t>Menu opens, arrow/Tab navigation works, Esc closes and returns focus.</t>
  </si>
  <si>
    <t>TC-293</t>
  </si>
  <si>
    <t>Mobile drawer focus management</t>
  </si>
  <si>
    <t>1. Open the mobile nav drawer via keyboard
2. Record the result</t>
  </si>
  <si>
    <t>Focus moves into the drawer and is trapped until closed.</t>
  </si>
  <si>
    <t>TC-294</t>
  </si>
  <si>
    <t>Form labels &amp; associations</t>
  </si>
  <si>
    <t>1. Inspect the callback form fields
2. Record the result</t>
  </si>
  <si>
    <t>Every field has a programmatically associated &lt;label&gt;.</t>
  </si>
  <si>
    <t>TC-295</t>
  </si>
  <si>
    <t>Form errors announced</t>
  </si>
  <si>
    <t>1. Trigger a validation error with a screen reader on
2. Record the result</t>
  </si>
  <si>
    <t>Errors are announced (aria-live / aria-describedby).</t>
  </si>
  <si>
    <t>TC-296</t>
  </si>
  <si>
    <t>Colour-contrast — text</t>
  </si>
  <si>
    <t>1. Sample body/heading text against backgrounds
2. Record the result</t>
  </si>
  <si>
    <t>Contrast meets WCAG AA (4.5:1 normal, 3:1 large).</t>
  </si>
  <si>
    <t>Failed WCAG 2.1 AA color-contrast check; see the Playwright HTML report for affected elements.</t>
  </si>
  <si>
    <t>TC-297</t>
  </si>
  <si>
    <t>Colour-contrast — buttons/links</t>
  </si>
  <si>
    <t>1. Sample CTA and link colours
2. Record the result</t>
  </si>
  <si>
    <t>Interactive text meets WCAG AA contrast.</t>
  </si>
  <si>
    <t>TC-298</t>
  </si>
  <si>
    <t>Heading hierarchy</t>
  </si>
  <si>
    <t>1. Inspect the heading outline of key pages
2. Record the result</t>
  </si>
  <si>
    <t>Exactly one H1 per page; no skipped heading levels.</t>
  </si>
  <si>
    <t>TC-299</t>
  </si>
  <si>
    <t>Image alt text (SR)</t>
  </si>
  <si>
    <t>1. Navigate images with a screen reader
2. Record the result</t>
  </si>
  <si>
    <t>Meaningful images are described; decorative ones are skipped.</t>
  </si>
  <si>
    <t>TC-300</t>
  </si>
  <si>
    <t>Landmarks / ARIA roles</t>
  </si>
  <si>
    <t>1. Inspect header, nav, main, footer landmarks
2. Record the result</t>
  </si>
  <si>
    <t>Correct landmark roles are present for SR navigation.</t>
  </si>
  <si>
    <t>TC-301</t>
  </si>
  <si>
    <t>Lightbox focus trap</t>
  </si>
  <si>
    <t>1. Open an image lightbox via keyboard
2. Record the result</t>
  </si>
  <si>
    <t>Focus is trapped in the dialog and Esc closes it, restoring focus.</t>
  </si>
  <si>
    <t>TC-302</t>
  </si>
  <si>
    <t>No keyboard trap</t>
  </si>
  <si>
    <t>1. Tab through the entire page and back
2. Record the result</t>
  </si>
  <si>
    <t>Focus can always move forward and backward out of every widget.</t>
  </si>
  <si>
    <t>TC-303</t>
  </si>
  <si>
    <t>Reduced-motion preference</t>
  </si>
  <si>
    <t>1. Enable prefers-reduced-motion and reload
2. Record the result</t>
  </si>
  <si>
    <t>Non-essential animations are reduced or disabled.</t>
  </si>
  <si>
    <t>TC-304</t>
  </si>
  <si>
    <t>Zoom to 200%</t>
  </si>
  <si>
    <t>1. Zoom the browser to 200%
2. Record the result</t>
  </si>
  <si>
    <t>Content reflows without loss of function or clipped text.</t>
  </si>
  <si>
    <t>TC-305</t>
  </si>
  <si>
    <t>Link purpose in context</t>
  </si>
  <si>
    <t>1. Review link text across pages
2. Record the result</t>
  </si>
  <si>
    <t>Link text is descriptive (no bare 'click here').</t>
  </si>
  <si>
    <t>TC-306</t>
  </si>
  <si>
    <t>Touch target size</t>
  </si>
  <si>
    <t>1. Inspect buttons/links on mobile
2. Record the result</t>
  </si>
  <si>
    <t>Interactive targets are at least 44×44px.</t>
  </si>
  <si>
    <t>How to use this workbook</t>
  </si>
  <si>
    <t>Dashboard</t>
  </si>
  <si>
    <t>Auto-updating summary: totals, coverage by task, and live execution status.</t>
  </si>
  <si>
    <t>The focused automated suite. Filter by Module, Priority, Type or Status via the header dropdowns.</t>
  </si>
  <si>
    <t>Status column</t>
  </si>
  <si>
    <t>Status is populated from the Opera GX Playwright run: Pass / Fail / Skipped.</t>
  </si>
  <si>
    <t>High = release-blocking · Medium = important · Low = nice-to-have. Colour-coded.</t>
  </si>
  <si>
    <t>Record what actually happened, defect IDs, or screenshots reference.</t>
  </si>
  <si>
    <t>Scope</t>
  </si>
  <si>
    <t>146 automated test cases covering only copy and spelling, accessibility and keyboard navigation, desktop/mobile layouts, and header/mega navigation.</t>
  </si>
  <si>
    <t>Environment</t>
  </si>
  <si>
    <t>Opera GX against http://localhost:3000 on 23 September 2026: 121 passed, 24 failed, 1 skipped.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</si>
</sst>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7">
    <font>
      <sz val="11"/>
      <color theme="1"/>
      <name val="Calibri"/>
      <charset val="134"/>
      <scheme val="minor"/>
    </font>
    <font>
      <b/>
      <sz val="14"/>
      <color rgb="FF14432E"/>
      <name val="Arial"/>
      <charset val="134"/>
    </font>
    <font>
      <b/>
      <sz val="10"/>
      <color rgb="FF1B5E3F"/>
      <name val="Arial"/>
      <charset val="134"/>
    </font>
    <font>
      <sz val="9"/>
      <color rgb="FF333333"/>
      <name val="Arial"/>
      <charset val="134"/>
    </font>
    <font>
      <b/>
      <sz val="14"/>
      <color rgb="FFC9A227"/>
      <name val="Arial"/>
      <charset val="134"/>
    </font>
    <font>
      <b/>
      <sz val="10"/>
      <color rgb="FFFFFFFF"/>
      <name val="Arial"/>
      <charset val="134"/>
    </font>
    <font>
      <b/>
      <sz val="9"/>
      <color rgb="FF1B5E3F"/>
      <name val="Arial"/>
      <charset val="134"/>
    </font>
    <font>
      <sz val="9"/>
      <color rgb="FF222222"/>
      <name val="Arial"/>
      <charset val="134"/>
    </font>
    <font>
      <b/>
      <sz val="22"/>
      <color rgb="FFC9A227"/>
      <name val="Arial"/>
      <charset val="134"/>
    </font>
    <font>
      <b/>
      <sz val="12"/>
      <color rgb="FFFFFFFF"/>
      <name val="Arial"/>
      <charset val="134"/>
    </font>
    <font>
      <sz val="9"/>
      <color rgb="FFFBF7EC"/>
      <name val="Arial"/>
      <charset val="134"/>
    </font>
    <font>
      <b/>
      <sz val="20"/>
      <color rgb="FF1B5E3F"/>
      <name val="Arial"/>
      <charset val="134"/>
    </font>
    <font>
      <b/>
      <sz val="8"/>
      <color rgb="FF5A5A5A"/>
      <name val="Arial"/>
      <charset val="134"/>
    </font>
    <font>
      <b/>
      <sz val="12"/>
      <color rgb="FF14432E"/>
      <name val="Arial"/>
      <charset val="134"/>
    </font>
    <font>
      <b/>
      <sz val="9"/>
      <color rgb="FFFFFFFF"/>
      <name val="Arial"/>
      <charset val="134"/>
    </font>
    <font>
      <b/>
      <sz val="14"/>
      <color rgb="FF222222"/>
      <name val="Arial"/>
      <charset val="134"/>
    </font>
    <font>
      <b/>
      <sz val="14"/>
      <color rgb="FF1B5E3F"/>
      <name val="Arial"/>
      <charset val="134"/>
    </font>
    <font>
      <i/>
      <sz val="8"/>
      <color rgb="FF5A5A5A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4432E"/>
        <bgColor indexed="64"/>
      </patternFill>
    </fill>
    <fill>
      <patternFill patternType="solid">
        <fgColor rgb="FF2D6A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4EE"/>
        <bgColor indexed="64"/>
      </patternFill>
    </fill>
    <fill>
      <patternFill patternType="solid">
        <fgColor rgb="FFFBF7E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CFCB"/>
      </left>
      <right style="thin">
        <color rgb="FFC9CFCB"/>
      </right>
      <top style="thin">
        <color rgb="FFC9CFCB"/>
      </top>
      <bottom style="thin">
        <color rgb="FFC9CFCB"/>
      </bottom>
      <diagonal/>
    </border>
    <border>
      <left style="thin">
        <color rgb="FFE8D48B"/>
      </left>
      <right style="thin">
        <color rgb="FFE8D48B"/>
      </right>
      <top style="medium">
        <color rgb="FFC9A227"/>
      </top>
      <bottom style="thin">
        <color rgb="FFE8D48B"/>
      </bottom>
      <diagonal/>
    </border>
    <border>
      <left/>
      <right/>
      <top style="thin">
        <color rgb="FFC9CFCB"/>
      </top>
      <bottom style="thin">
        <color rgb="FFC9CFCB"/>
      </bottom>
      <diagonal/>
    </border>
    <border>
      <left/>
      <right style="thin">
        <color rgb="FFC9CFCB"/>
      </right>
      <top style="thin">
        <color rgb="FFC9CFCB"/>
      </top>
      <bottom style="thin">
        <color rgb="FFC9CFC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0" fillId="11" borderId="5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6">
      <alignment vertical="center"/>
    </xf>
    <xf numFmtId="0" fontId="24" fillId="0" borderId="6">
      <alignment vertical="center"/>
    </xf>
    <xf numFmtId="0" fontId="25" fillId="0" borderId="7">
      <alignment vertical="center"/>
    </xf>
    <xf numFmtId="0" fontId="25" fillId="0" borderId="0">
      <alignment vertical="center"/>
    </xf>
    <xf numFmtId="0" fontId="26" fillId="12" borderId="8">
      <alignment vertical="center"/>
    </xf>
    <xf numFmtId="0" fontId="27" fillId="13" borderId="9">
      <alignment vertical="center"/>
    </xf>
    <xf numFmtId="0" fontId="28" fillId="13" borderId="8">
      <alignment vertical="center"/>
    </xf>
    <xf numFmtId="0" fontId="29" fillId="14" borderId="10">
      <alignment vertical="center"/>
    </xf>
    <xf numFmtId="0" fontId="30" fillId="0" borderId="11">
      <alignment vertical="center"/>
    </xf>
    <xf numFmtId="0" fontId="31" fillId="0" borderId="12">
      <alignment vertical="center"/>
    </xf>
    <xf numFmtId="0" fontId="32" fillId="15" borderId="0">
      <alignment vertical="center"/>
    </xf>
    <xf numFmtId="0" fontId="33" fillId="16" borderId="0">
      <alignment vertical="center"/>
    </xf>
    <xf numFmtId="0" fontId="34" fillId="17" borderId="0">
      <alignment vertical="center"/>
    </xf>
    <xf numFmtId="0" fontId="35" fillId="18" borderId="0">
      <alignment vertical="center"/>
    </xf>
    <xf numFmtId="0" fontId="36" fillId="19" borderId="0">
      <alignment vertical="center"/>
    </xf>
    <xf numFmtId="0" fontId="36" fillId="20" borderId="0">
      <alignment vertical="center"/>
    </xf>
    <xf numFmtId="0" fontId="35" fillId="21" borderId="0">
      <alignment vertical="center"/>
    </xf>
    <xf numFmtId="0" fontId="35" fillId="22" borderId="0">
      <alignment vertical="center"/>
    </xf>
    <xf numFmtId="0" fontId="36" fillId="23" borderId="0">
      <alignment vertical="center"/>
    </xf>
    <xf numFmtId="0" fontId="36" fillId="24" borderId="0">
      <alignment vertical="center"/>
    </xf>
    <xf numFmtId="0" fontId="35" fillId="25" borderId="0">
      <alignment vertical="center"/>
    </xf>
    <xf numFmtId="0" fontId="35" fillId="26" borderId="0">
      <alignment vertical="center"/>
    </xf>
    <xf numFmtId="0" fontId="36" fillId="27" borderId="0">
      <alignment vertical="center"/>
    </xf>
    <xf numFmtId="0" fontId="36" fillId="28" borderId="0">
      <alignment vertical="center"/>
    </xf>
    <xf numFmtId="0" fontId="35" fillId="29" borderId="0">
      <alignment vertical="center"/>
    </xf>
    <xf numFmtId="0" fontId="35" fillId="30" borderId="0">
      <alignment vertical="center"/>
    </xf>
    <xf numFmtId="0" fontId="36" fillId="31" borderId="0">
      <alignment vertical="center"/>
    </xf>
    <xf numFmtId="0" fontId="36" fillId="32" borderId="0">
      <alignment vertical="center"/>
    </xf>
    <xf numFmtId="0" fontId="35" fillId="33" borderId="0">
      <alignment vertical="center"/>
    </xf>
    <xf numFmtId="0" fontId="35" fillId="34" borderId="0">
      <alignment vertical="center"/>
    </xf>
    <xf numFmtId="0" fontId="36" fillId="35" borderId="0">
      <alignment vertical="center"/>
    </xf>
    <xf numFmtId="0" fontId="36" fillId="36" borderId="0">
      <alignment vertical="center"/>
    </xf>
    <xf numFmtId="0" fontId="35" fillId="37" borderId="0">
      <alignment vertical="center"/>
    </xf>
    <xf numFmtId="0" fontId="35" fillId="38" borderId="0">
      <alignment vertical="center"/>
    </xf>
    <xf numFmtId="0" fontId="36" fillId="39" borderId="0">
      <alignment vertical="center"/>
    </xf>
    <xf numFmtId="0" fontId="36" fillId="40" borderId="0">
      <alignment vertical="center"/>
    </xf>
    <xf numFmtId="0" fontId="35" fillId="41" borderId="0">
      <alignment vertical="center"/>
    </xf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3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 vertical="center"/>
    </xf>
    <xf numFmtId="0" fontId="0" fillId="0" borderId="3" xfId="0" applyBorder="1"/>
    <xf numFmtId="0" fontId="0" fillId="0" borderId="4" xfId="0" applyBorder="1"/>
    <xf numFmtId="0" fontId="5" fillId="2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79" fontId="16" fillId="6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7">
    <dxf>
      <font>
        <name val="Arial"/>
        <scheme val="none"/>
        <b val="1"/>
        <sz val="9"/>
        <color rgb="FFC0392B"/>
      </font>
      <fill>
        <patternFill patternType="solid">
          <fgColor rgb="FFF8D7D5"/>
        </patternFill>
      </fill>
    </dxf>
    <dxf>
      <font>
        <name val="Arial"/>
        <scheme val="none"/>
        <b val="1"/>
        <sz val="9"/>
        <color rgb="FFB7791F"/>
      </font>
      <fill>
        <patternFill patternType="solid">
          <fgColor rgb="FFFCEFC7"/>
        </patternFill>
      </fill>
    </dxf>
    <dxf>
      <font>
        <name val="Arial"/>
        <scheme val="none"/>
        <b val="1"/>
        <sz val="9"/>
        <color rgb="FF2C5282"/>
      </font>
      <fill>
        <patternFill patternType="solid">
          <fgColor rgb="FFE2ECF7"/>
        </patternFill>
      </fill>
    </dxf>
    <dxf>
      <font>
        <name val="Arial"/>
        <scheme val="none"/>
        <b val="1"/>
        <sz val="9"/>
        <color rgb="FF27AE60"/>
      </font>
      <fill>
        <patternFill patternType="solid">
          <fgColor rgb="FFD5F0DE"/>
        </patternFill>
      </fill>
    </dxf>
    <dxf>
      <font>
        <name val="Arial"/>
        <scheme val="none"/>
        <b val="1"/>
        <sz val="9"/>
        <color rgb="FFE67E22"/>
      </font>
      <fill>
        <patternFill patternType="solid">
          <fgColor rgb="FFFCE7CF"/>
        </patternFill>
      </fill>
    </dxf>
    <dxf>
      <font>
        <name val="Arial"/>
        <scheme val="none"/>
        <b val="1"/>
        <sz val="9"/>
        <color rgb="FF5A5A5A"/>
      </font>
      <fill>
        <patternFill patternType="solid">
          <fgColor rgb="FFECECEC"/>
        </patternFill>
      </fill>
    </dxf>
    <dxf>
      <font>
        <b val="1"/>
        <color rgb="FF203864"/>
      </font>
      <fill>
        <patternFill patternType="solid">
          <fgColor rgb="FFD9E1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9A227"/>
  </sheetPr>
  <dimension ref="B2:G32"/>
  <sheetViews>
    <sheetView showGridLines="0" tabSelected="1" workbookViewId="0">
      <selection activeCell="A1" sqref="A1"/>
    </sheetView>
  </sheetViews>
  <sheetFormatPr defaultColWidth="9" defaultRowHeight="14.5" outlineLevelCol="6"/>
  <cols>
    <col min="1" max="1" width="3" customWidth="1"/>
    <col min="2" max="2" width="26" customWidth="1"/>
    <col min="3" max="3" width="15" customWidth="1"/>
    <col min="4" max="7" width="12" customWidth="1"/>
    <col min="8" max="8" width="3" customWidth="1"/>
  </cols>
  <sheetData>
    <row r="2" ht="34" customHeight="1" spans="2:6">
      <c r="B2" s="14" t="s">
        <v>0</v>
      </c>
    </row>
    <row r="3" ht="22" customHeight="1" spans="2:6">
      <c r="B3" s="15" t="s">
        <v>1</v>
      </c>
    </row>
    <row r="4" ht="18" customHeight="1" spans="2:6">
      <c r="B4" s="16" t="s">
        <v>2</v>
      </c>
    </row>
    <row r="5" ht="15.25" customHeight="1"/>
    <row r="6" ht="30" customHeight="1" spans="2:6">
      <c r="B6" s="17">
        <v>146</v>
      </c>
      <c r="C6" s="17">
        <v>4</v>
      </c>
      <c r="D6" s="17">
        <v>42</v>
      </c>
      <c r="E6" s="17">
        <v>1</v>
      </c>
    </row>
    <row r="7" spans="2:6">
      <c r="B7" s="18" t="s">
        <v>3</v>
      </c>
      <c r="C7" s="18" t="s">
        <v>4</v>
      </c>
      <c r="D7" s="18" t="s">
        <v>5</v>
      </c>
      <c r="E7" s="18" t="s">
        <v>6</v>
      </c>
    </row>
    <row r="9" ht="15.5" customHeight="1" spans="2:6">
      <c r="B9" s="19" t="s">
        <v>7</v>
      </c>
    </row>
    <row r="10" spans="2:6">
      <c r="B10" s="20" t="s">
        <v>8</v>
      </c>
      <c r="C10" s="20" t="s">
        <v>9</v>
      </c>
      <c r="D10" s="20" t="s">
        <v>10</v>
      </c>
      <c r="E10" s="20" t="s">
        <v>11</v>
      </c>
      <c r="F10" s="20" t="s">
        <v>12</v>
      </c>
    </row>
    <row r="11" spans="2:6">
      <c r="B11" s="21">
        <v>1</v>
      </c>
      <c r="C11" s="22" t="s">
        <v>13</v>
      </c>
      <c r="D11" s="21" t="s">
        <v>14</v>
      </c>
      <c r="E11" s="21" t="s">
        <v>15</v>
      </c>
      <c r="F11" s="21">
        <f>COUNTIF('Test Cases'!$B:$B,"T01*")</f>
        <v>42</v>
      </c>
    </row>
    <row r="12" spans="2:6">
      <c r="B12" s="9">
        <v>2</v>
      </c>
      <c r="C12" s="23" t="s">
        <v>16</v>
      </c>
      <c r="D12" s="9" t="s">
        <v>17</v>
      </c>
      <c r="E12" s="9" t="s">
        <v>15</v>
      </c>
      <c r="F12" s="9">
        <f>COUNTIF('Test Cases'!$B:$B,"T10*")</f>
        <v>18</v>
      </c>
    </row>
    <row r="13" spans="2:6">
      <c r="B13" s="21">
        <v>3</v>
      </c>
      <c r="C13" s="22" t="s">
        <v>18</v>
      </c>
      <c r="D13" s="21" t="s">
        <v>19</v>
      </c>
      <c r="E13" s="21" t="s">
        <v>20</v>
      </c>
      <c r="F13" s="21">
        <f>COUNTIF('Test Cases'!$B:$B,"T03*")</f>
        <v>56</v>
      </c>
    </row>
    <row r="14" spans="2:6">
      <c r="B14" s="9">
        <v>4</v>
      </c>
      <c r="C14" s="23" t="s">
        <v>21</v>
      </c>
      <c r="D14" s="9" t="s">
        <v>22</v>
      </c>
      <c r="E14" s="9" t="s">
        <v>20</v>
      </c>
      <c r="F14" s="9">
        <f>COUNTIF('Test Cases'!$B:$B,"T04*")</f>
        <v>30</v>
      </c>
    </row>
    <row r="15" hidden="1" spans="2:6">
      <c r="B15" s="21"/>
      <c r="C15" s="22"/>
      <c r="D15" s="21"/>
      <c r="E15" s="21"/>
      <c r="F15" s="21"/>
    </row>
    <row r="16" hidden="1" spans="2:6">
      <c r="B16" s="9"/>
      <c r="C16" s="23"/>
      <c r="D16" s="9"/>
      <c r="E16" s="9"/>
      <c r="F16" s="9"/>
    </row>
    <row r="17" hidden="1" spans="2:6">
      <c r="B17" s="21"/>
      <c r="C17" s="22"/>
      <c r="D17" s="21"/>
      <c r="E17" s="21"/>
      <c r="F17" s="21"/>
    </row>
    <row r="18" hidden="1" spans="2:6">
      <c r="B18" s="9"/>
      <c r="C18" s="23"/>
      <c r="D18" s="9"/>
      <c r="E18" s="9"/>
      <c r="F18" s="9"/>
    </row>
    <row r="19" hidden="1" spans="2:6">
      <c r="B19" s="21"/>
      <c r="C19" s="22"/>
      <c r="D19" s="21"/>
      <c r="E19" s="21"/>
      <c r="F19" s="21"/>
    </row>
    <row r="20" hidden="1" spans="2:6">
      <c r="B20" s="9"/>
      <c r="C20" s="23"/>
      <c r="D20" s="9"/>
      <c r="E20" s="9"/>
      <c r="F20" s="9"/>
    </row>
    <row r="21" hidden="1" spans="2:6">
      <c r="B21" s="21"/>
      <c r="C21" s="22"/>
      <c r="D21" s="21"/>
      <c r="E21" s="21"/>
      <c r="F21" s="21"/>
    </row>
    <row r="22" hidden="1" spans="2:6">
      <c r="B22" s="9"/>
      <c r="C22" s="23"/>
      <c r="D22" s="9"/>
      <c r="E22" s="9"/>
      <c r="F22" s="9"/>
    </row>
    <row r="23" hidden="1" spans="2:6">
      <c r="B23" s="21"/>
      <c r="C23" s="22"/>
      <c r="D23" s="21"/>
      <c r="E23" s="21"/>
      <c r="F23" s="21"/>
    </row>
    <row r="24" spans="2:6">
      <c r="B24" s="24" t="s">
        <v>23</v>
      </c>
      <c r="C24" s="25"/>
      <c r="D24" s="25"/>
      <c r="E24" s="26"/>
      <c r="F24" s="27">
        <f>SUM(F11:F14)</f>
        <v>146</v>
      </c>
    </row>
    <row r="26" ht="15.5" customHeight="1" spans="2:6">
      <c r="B26" s="19" t="s">
        <v>24</v>
      </c>
    </row>
    <row r="27" spans="2:6">
      <c r="B27" s="28" t="s">
        <v>25</v>
      </c>
      <c r="C27" s="29" t="s">
        <v>26</v>
      </c>
      <c r="D27" s="30" t="s">
        <v>27</v>
      </c>
      <c r="E27" s="31" t="s">
        <v>28</v>
      </c>
      <c r="F27" s="32" t="s">
        <v>29</v>
      </c>
    </row>
    <row r="28" ht="26" customHeight="1" spans="2:6">
      <c r="B28" s="33">
        <f>COUNTIF('Test Cases'!$J:$J,"Not Run")</f>
        <v>0</v>
      </c>
      <c r="C28" s="33">
        <f>COUNTIF('Test Cases'!$J:$J,"Pass")</f>
        <v>121</v>
      </c>
      <c r="D28" s="33">
        <f>COUNTIF('Test Cases'!$J:$J,"Fail")</f>
        <v>24</v>
      </c>
      <c r="E28" s="33">
        <f>COUNTIF('Test Cases'!$J:$J,"Skipped")</f>
        <v>1</v>
      </c>
      <c r="F28" s="34">
        <f>IFERROR((C28+D28+E28)/146,0)</f>
        <v>1</v>
      </c>
    </row>
    <row r="30" spans="2:6">
      <c r="B30" s="35" t="s">
        <v>30</v>
      </c>
    </row>
  </sheetData>
  <mergeCells count="5">
    <mergeCell ref="B2:G2"/>
    <mergeCell ref="B3:G3"/>
    <mergeCell ref="B4:G4"/>
    <mergeCell ref="B24:E24"/>
    <mergeCell ref="B30:G3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4432E"/>
  </sheetPr>
  <dimension ref="A1:K394"/>
  <sheetViews>
    <sheetView showGridLines="0" workbookViewId="0">
      <pane ySplit="2" topLeftCell="A3" activePane="bottomLeft" state="frozen"/>
      <selection/>
      <selection pane="bottomLeft" activeCell="A1" sqref="A1:K1"/>
    </sheetView>
  </sheetViews>
  <sheetFormatPr defaultColWidth="9" defaultRowHeight="14.5"/>
  <cols>
    <col min="1" max="1" width="12" customWidth="1"/>
    <col min="2" max="2" width="26" customWidth="1"/>
    <col min="3" max="3" width="40" customWidth="1"/>
    <col min="4" max="4" width="10" customWidth="1"/>
    <col min="5" max="5" width="15" customWidth="1"/>
    <col min="6" max="6" width="26" customWidth="1"/>
    <col min="7" max="7" width="48" customWidth="1"/>
    <col min="8" max="8" width="22" customWidth="1"/>
    <col min="9" max="9" width="44" customWidth="1"/>
    <col min="10" max="10" width="12" customWidth="1"/>
    <col min="11" max="11" width="30" customWidth="1"/>
  </cols>
  <sheetData>
    <row r="1" ht="26" customHeight="1" spans="1:11">
      <c r="A1" s="4" t="s">
        <v>31</v>
      </c>
    </row>
    <row r="2" ht="30" customHeight="1" spans="1:11">
      <c r="A2" s="5" t="s">
        <v>32</v>
      </c>
      <c r="B2" s="5" t="s">
        <v>33</v>
      </c>
      <c r="C2" s="5" t="s">
        <v>34</v>
      </c>
      <c r="D2" s="5" t="s">
        <v>11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</row>
    <row r="3" ht="46" customHeight="1" spans="1:11">
      <c r="A3" s="6" t="s">
        <v>42</v>
      </c>
      <c r="B3" s="7" t="s">
        <v>43</v>
      </c>
      <c r="C3" s="8" t="s">
        <v>44</v>
      </c>
      <c r="D3" s="9" t="s">
        <v>15</v>
      </c>
      <c r="E3" s="9" t="s">
        <v>14</v>
      </c>
      <c r="F3" s="8" t="s">
        <v>45</v>
      </c>
      <c r="G3" s="8" t="s">
        <v>46</v>
      </c>
      <c r="H3" s="8" t="s">
        <v>47</v>
      </c>
      <c r="I3" s="8" t="s">
        <v>48</v>
      </c>
      <c r="J3" s="9" t="s">
        <v>26</v>
      </c>
      <c r="K3" s="8" t="s">
        <v>49</v>
      </c>
    </row>
    <row r="4" ht="46" customHeight="1" spans="1:11">
      <c r="A4" s="10" t="s">
        <v>50</v>
      </c>
      <c r="B4" s="11" t="s">
        <v>43</v>
      </c>
      <c r="C4" s="12" t="s">
        <v>51</v>
      </c>
      <c r="D4" s="13" t="s">
        <v>15</v>
      </c>
      <c r="E4" s="13" t="s">
        <v>14</v>
      </c>
      <c r="F4" s="12" t="s">
        <v>45</v>
      </c>
      <c r="G4" s="12" t="s">
        <v>52</v>
      </c>
      <c r="H4" s="12" t="s">
        <v>53</v>
      </c>
      <c r="I4" s="12" t="s">
        <v>48</v>
      </c>
      <c r="J4" s="13" t="s">
        <v>26</v>
      </c>
      <c r="K4" s="12" t="s">
        <v>49</v>
      </c>
    </row>
    <row r="5" ht="46" customHeight="1" spans="1:11">
      <c r="A5" s="6" t="s">
        <v>54</v>
      </c>
      <c r="B5" s="7" t="s">
        <v>43</v>
      </c>
      <c r="C5" s="8" t="s">
        <v>55</v>
      </c>
      <c r="D5" s="9" t="s">
        <v>15</v>
      </c>
      <c r="E5" s="9" t="s">
        <v>14</v>
      </c>
      <c r="F5" s="8" t="s">
        <v>45</v>
      </c>
      <c r="G5" s="8" t="s">
        <v>56</v>
      </c>
      <c r="H5" s="8" t="s">
        <v>57</v>
      </c>
      <c r="I5" s="8" t="s">
        <v>48</v>
      </c>
      <c r="J5" s="9" t="s">
        <v>26</v>
      </c>
      <c r="K5" s="8" t="s">
        <v>49</v>
      </c>
    </row>
    <row r="6" ht="46" customHeight="1" spans="1:11">
      <c r="A6" s="10" t="s">
        <v>58</v>
      </c>
      <c r="B6" s="11" t="s">
        <v>43</v>
      </c>
      <c r="C6" s="12" t="s">
        <v>59</v>
      </c>
      <c r="D6" s="13" t="s">
        <v>15</v>
      </c>
      <c r="E6" s="13" t="s">
        <v>14</v>
      </c>
      <c r="F6" s="12" t="s">
        <v>45</v>
      </c>
      <c r="G6" s="12" t="s">
        <v>60</v>
      </c>
      <c r="H6" s="12" t="s">
        <v>61</v>
      </c>
      <c r="I6" s="12" t="s">
        <v>48</v>
      </c>
      <c r="J6" s="13" t="s">
        <v>26</v>
      </c>
      <c r="K6" s="12" t="s">
        <v>49</v>
      </c>
    </row>
    <row r="7" ht="46" customHeight="1" spans="1:11">
      <c r="A7" s="6" t="s">
        <v>62</v>
      </c>
      <c r="B7" s="7" t="s">
        <v>43</v>
      </c>
      <c r="C7" s="8" t="s">
        <v>63</v>
      </c>
      <c r="D7" s="9" t="s">
        <v>15</v>
      </c>
      <c r="E7" s="9" t="s">
        <v>14</v>
      </c>
      <c r="F7" s="8" t="s">
        <v>45</v>
      </c>
      <c r="G7" s="8" t="s">
        <v>64</v>
      </c>
      <c r="H7" s="8" t="s">
        <v>65</v>
      </c>
      <c r="I7" s="8" t="s">
        <v>48</v>
      </c>
      <c r="J7" s="9" t="s">
        <v>26</v>
      </c>
      <c r="K7" s="8" t="s">
        <v>49</v>
      </c>
    </row>
    <row r="8" ht="46" customHeight="1" spans="1:11">
      <c r="A8" s="10" t="s">
        <v>66</v>
      </c>
      <c r="B8" s="11" t="s">
        <v>43</v>
      </c>
      <c r="C8" s="12" t="s">
        <v>67</v>
      </c>
      <c r="D8" s="13" t="s">
        <v>15</v>
      </c>
      <c r="E8" s="13" t="s">
        <v>14</v>
      </c>
      <c r="F8" s="12" t="s">
        <v>45</v>
      </c>
      <c r="G8" s="12" t="s">
        <v>68</v>
      </c>
      <c r="H8" s="12" t="s">
        <v>69</v>
      </c>
      <c r="I8" s="12" t="s">
        <v>48</v>
      </c>
      <c r="J8" s="13" t="s">
        <v>26</v>
      </c>
      <c r="K8" s="12" t="s">
        <v>49</v>
      </c>
    </row>
    <row r="9" ht="46" customHeight="1" spans="1:11">
      <c r="A9" s="6" t="s">
        <v>70</v>
      </c>
      <c r="B9" s="7" t="s">
        <v>43</v>
      </c>
      <c r="C9" s="8" t="s">
        <v>71</v>
      </c>
      <c r="D9" s="9" t="s">
        <v>15</v>
      </c>
      <c r="E9" s="9" t="s">
        <v>14</v>
      </c>
      <c r="F9" s="8" t="s">
        <v>45</v>
      </c>
      <c r="G9" s="8" t="s">
        <v>72</v>
      </c>
      <c r="H9" s="8" t="s">
        <v>73</v>
      </c>
      <c r="I9" s="8" t="s">
        <v>48</v>
      </c>
      <c r="J9" s="9" t="s">
        <v>26</v>
      </c>
      <c r="K9" s="8" t="s">
        <v>49</v>
      </c>
    </row>
    <row r="10" ht="46" customHeight="1" spans="1:11">
      <c r="A10" s="10" t="s">
        <v>74</v>
      </c>
      <c r="B10" s="11" t="s">
        <v>43</v>
      </c>
      <c r="C10" s="12" t="s">
        <v>75</v>
      </c>
      <c r="D10" s="13" t="s">
        <v>15</v>
      </c>
      <c r="E10" s="13" t="s">
        <v>14</v>
      </c>
      <c r="F10" s="12" t="s">
        <v>45</v>
      </c>
      <c r="G10" s="12" t="s">
        <v>76</v>
      </c>
      <c r="H10" s="12" t="s">
        <v>77</v>
      </c>
      <c r="I10" s="12" t="s">
        <v>48</v>
      </c>
      <c r="J10" s="13" t="s">
        <v>26</v>
      </c>
      <c r="K10" s="12" t="s">
        <v>49</v>
      </c>
    </row>
    <row r="11" ht="46" customHeight="1" spans="1:11">
      <c r="A11" s="6" t="s">
        <v>78</v>
      </c>
      <c r="B11" s="7" t="s">
        <v>43</v>
      </c>
      <c r="C11" s="8" t="s">
        <v>79</v>
      </c>
      <c r="D11" s="9" t="s">
        <v>15</v>
      </c>
      <c r="E11" s="9" t="s">
        <v>14</v>
      </c>
      <c r="F11" s="8" t="s">
        <v>45</v>
      </c>
      <c r="G11" s="8" t="s">
        <v>80</v>
      </c>
      <c r="H11" s="8" t="s">
        <v>81</v>
      </c>
      <c r="I11" s="8" t="s">
        <v>48</v>
      </c>
      <c r="J11" s="9" t="s">
        <v>26</v>
      </c>
      <c r="K11" s="8" t="s">
        <v>49</v>
      </c>
    </row>
    <row r="12" ht="46" customHeight="1" spans="1:11">
      <c r="A12" s="10" t="s">
        <v>82</v>
      </c>
      <c r="B12" s="11" t="s">
        <v>43</v>
      </c>
      <c r="C12" s="12" t="s">
        <v>83</v>
      </c>
      <c r="D12" s="13" t="s">
        <v>15</v>
      </c>
      <c r="E12" s="13" t="s">
        <v>14</v>
      </c>
      <c r="F12" s="12" t="s">
        <v>45</v>
      </c>
      <c r="G12" s="12" t="s">
        <v>84</v>
      </c>
      <c r="H12" s="12" t="s">
        <v>85</v>
      </c>
      <c r="I12" s="12" t="s">
        <v>48</v>
      </c>
      <c r="J12" s="13" t="s">
        <v>26</v>
      </c>
      <c r="K12" s="12" t="s">
        <v>49</v>
      </c>
    </row>
    <row r="13" ht="46" customHeight="1" spans="1:11">
      <c r="A13" s="6" t="s">
        <v>86</v>
      </c>
      <c r="B13" s="7" t="s">
        <v>43</v>
      </c>
      <c r="C13" s="8" t="s">
        <v>87</v>
      </c>
      <c r="D13" s="9" t="s">
        <v>15</v>
      </c>
      <c r="E13" s="9" t="s">
        <v>14</v>
      </c>
      <c r="F13" s="8" t="s">
        <v>45</v>
      </c>
      <c r="G13" s="8" t="s">
        <v>88</v>
      </c>
      <c r="H13" s="8" t="s">
        <v>89</v>
      </c>
      <c r="I13" s="8" t="s">
        <v>48</v>
      </c>
      <c r="J13" s="9" t="s">
        <v>26</v>
      </c>
      <c r="K13" s="8" t="s">
        <v>49</v>
      </c>
    </row>
    <row r="14" ht="46" customHeight="1" spans="1:11">
      <c r="A14" s="10" t="s">
        <v>90</v>
      </c>
      <c r="B14" s="11" t="s">
        <v>43</v>
      </c>
      <c r="C14" s="12" t="s">
        <v>91</v>
      </c>
      <c r="D14" s="13" t="s">
        <v>15</v>
      </c>
      <c r="E14" s="13" t="s">
        <v>14</v>
      </c>
      <c r="F14" s="12" t="s">
        <v>45</v>
      </c>
      <c r="G14" s="12" t="s">
        <v>92</v>
      </c>
      <c r="H14" s="12" t="s">
        <v>93</v>
      </c>
      <c r="I14" s="12" t="s">
        <v>48</v>
      </c>
      <c r="J14" s="13" t="s">
        <v>26</v>
      </c>
      <c r="K14" s="12" t="s">
        <v>49</v>
      </c>
    </row>
    <row r="15" ht="46" customHeight="1" spans="1:11">
      <c r="A15" s="6" t="s">
        <v>94</v>
      </c>
      <c r="B15" s="7" t="s">
        <v>43</v>
      </c>
      <c r="C15" s="8" t="s">
        <v>95</v>
      </c>
      <c r="D15" s="9" t="s">
        <v>15</v>
      </c>
      <c r="E15" s="9" t="s">
        <v>14</v>
      </c>
      <c r="F15" s="8" t="s">
        <v>45</v>
      </c>
      <c r="G15" s="8" t="s">
        <v>96</v>
      </c>
      <c r="H15" s="8" t="s">
        <v>97</v>
      </c>
      <c r="I15" s="8" t="s">
        <v>48</v>
      </c>
      <c r="J15" s="9" t="s">
        <v>26</v>
      </c>
      <c r="K15" s="8" t="s">
        <v>49</v>
      </c>
    </row>
    <row r="16" ht="46" customHeight="1" spans="1:11">
      <c r="A16" s="10" t="s">
        <v>98</v>
      </c>
      <c r="B16" s="11" t="s">
        <v>43</v>
      </c>
      <c r="C16" s="12" t="s">
        <v>99</v>
      </c>
      <c r="D16" s="13" t="s">
        <v>15</v>
      </c>
      <c r="E16" s="13" t="s">
        <v>14</v>
      </c>
      <c r="F16" s="12" t="s">
        <v>45</v>
      </c>
      <c r="G16" s="12" t="s">
        <v>100</v>
      </c>
      <c r="H16" s="12" t="s">
        <v>101</v>
      </c>
      <c r="I16" s="12" t="s">
        <v>48</v>
      </c>
      <c r="J16" s="13" t="s">
        <v>26</v>
      </c>
      <c r="K16" s="12" t="s">
        <v>49</v>
      </c>
    </row>
    <row r="17" ht="46" customHeight="1" spans="1:11">
      <c r="A17" s="6" t="s">
        <v>102</v>
      </c>
      <c r="B17" s="7" t="s">
        <v>43</v>
      </c>
      <c r="C17" s="8" t="s">
        <v>103</v>
      </c>
      <c r="D17" s="9" t="s">
        <v>15</v>
      </c>
      <c r="E17" s="9" t="s">
        <v>14</v>
      </c>
      <c r="F17" s="8" t="s">
        <v>45</v>
      </c>
      <c r="G17" s="8" t="s">
        <v>104</v>
      </c>
      <c r="H17" s="8" t="s">
        <v>105</v>
      </c>
      <c r="I17" s="8" t="s">
        <v>48</v>
      </c>
      <c r="J17" s="9" t="s">
        <v>26</v>
      </c>
      <c r="K17" s="8" t="s">
        <v>49</v>
      </c>
    </row>
    <row r="18" ht="46" customHeight="1" spans="1:11">
      <c r="A18" s="10" t="s">
        <v>106</v>
      </c>
      <c r="B18" s="11" t="s">
        <v>43</v>
      </c>
      <c r="C18" s="12" t="s">
        <v>107</v>
      </c>
      <c r="D18" s="13" t="s">
        <v>15</v>
      </c>
      <c r="E18" s="13" t="s">
        <v>14</v>
      </c>
      <c r="F18" s="12" t="s">
        <v>45</v>
      </c>
      <c r="G18" s="12" t="s">
        <v>108</v>
      </c>
      <c r="H18" s="12" t="s">
        <v>109</v>
      </c>
      <c r="I18" s="12" t="s">
        <v>48</v>
      </c>
      <c r="J18" s="13" t="s">
        <v>26</v>
      </c>
      <c r="K18" s="12" t="s">
        <v>49</v>
      </c>
    </row>
    <row r="19" ht="46" customHeight="1" spans="1:11">
      <c r="A19" s="6" t="s">
        <v>110</v>
      </c>
      <c r="B19" s="7" t="s">
        <v>43</v>
      </c>
      <c r="C19" s="8" t="s">
        <v>111</v>
      </c>
      <c r="D19" s="9" t="s">
        <v>15</v>
      </c>
      <c r="E19" s="9" t="s">
        <v>14</v>
      </c>
      <c r="F19" s="8" t="s">
        <v>45</v>
      </c>
      <c r="G19" s="8" t="s">
        <v>112</v>
      </c>
      <c r="H19" s="8" t="s">
        <v>113</v>
      </c>
      <c r="I19" s="8" t="s">
        <v>48</v>
      </c>
      <c r="J19" s="9" t="s">
        <v>26</v>
      </c>
      <c r="K19" s="8" t="s">
        <v>49</v>
      </c>
    </row>
    <row r="20" ht="46" customHeight="1" spans="1:11">
      <c r="A20" s="10" t="s">
        <v>114</v>
      </c>
      <c r="B20" s="11" t="s">
        <v>43</v>
      </c>
      <c r="C20" s="12" t="s">
        <v>115</v>
      </c>
      <c r="D20" s="13" t="s">
        <v>15</v>
      </c>
      <c r="E20" s="13" t="s">
        <v>14</v>
      </c>
      <c r="F20" s="12" t="s">
        <v>45</v>
      </c>
      <c r="G20" s="12" t="s">
        <v>116</v>
      </c>
      <c r="H20" s="12" t="s">
        <v>117</v>
      </c>
      <c r="I20" s="12" t="s">
        <v>48</v>
      </c>
      <c r="J20" s="13" t="s">
        <v>26</v>
      </c>
      <c r="K20" s="12" t="s">
        <v>49</v>
      </c>
    </row>
    <row r="21" ht="46" customHeight="1" spans="1:11">
      <c r="A21" s="6" t="s">
        <v>118</v>
      </c>
      <c r="B21" s="7" t="s">
        <v>43</v>
      </c>
      <c r="C21" s="8" t="s">
        <v>119</v>
      </c>
      <c r="D21" s="9" t="s">
        <v>15</v>
      </c>
      <c r="E21" s="9" t="s">
        <v>14</v>
      </c>
      <c r="F21" s="8" t="s">
        <v>45</v>
      </c>
      <c r="G21" s="8" t="s">
        <v>120</v>
      </c>
      <c r="H21" s="8" t="s">
        <v>121</v>
      </c>
      <c r="I21" s="8" t="s">
        <v>48</v>
      </c>
      <c r="J21" s="9" t="s">
        <v>26</v>
      </c>
      <c r="K21" s="8" t="s">
        <v>49</v>
      </c>
    </row>
    <row r="22" ht="46" customHeight="1" spans="1:11">
      <c r="A22" s="10" t="s">
        <v>122</v>
      </c>
      <c r="B22" s="11" t="s">
        <v>43</v>
      </c>
      <c r="C22" s="12" t="s">
        <v>123</v>
      </c>
      <c r="D22" s="13" t="s">
        <v>15</v>
      </c>
      <c r="E22" s="13" t="s">
        <v>14</v>
      </c>
      <c r="F22" s="12" t="s">
        <v>45</v>
      </c>
      <c r="G22" s="12" t="s">
        <v>124</v>
      </c>
      <c r="H22" s="12" t="s">
        <v>125</v>
      </c>
      <c r="I22" s="12" t="s">
        <v>48</v>
      </c>
      <c r="J22" s="13" t="s">
        <v>26</v>
      </c>
      <c r="K22" s="12" t="s">
        <v>49</v>
      </c>
    </row>
    <row r="23" ht="46" customHeight="1" spans="1:11">
      <c r="A23" s="6" t="s">
        <v>126</v>
      </c>
      <c r="B23" s="7" t="s">
        <v>43</v>
      </c>
      <c r="C23" s="8" t="s">
        <v>127</v>
      </c>
      <c r="D23" s="9" t="s">
        <v>15</v>
      </c>
      <c r="E23" s="9" t="s">
        <v>14</v>
      </c>
      <c r="F23" s="8" t="s">
        <v>45</v>
      </c>
      <c r="G23" s="8" t="s">
        <v>128</v>
      </c>
      <c r="H23" s="8" t="s">
        <v>129</v>
      </c>
      <c r="I23" s="8" t="s">
        <v>48</v>
      </c>
      <c r="J23" s="9" t="s">
        <v>26</v>
      </c>
      <c r="K23" s="8" t="s">
        <v>49</v>
      </c>
    </row>
    <row r="24" ht="46" customHeight="1" spans="1:11">
      <c r="A24" s="10" t="s">
        <v>130</v>
      </c>
      <c r="B24" s="11" t="s">
        <v>43</v>
      </c>
      <c r="C24" s="12" t="s">
        <v>131</v>
      </c>
      <c r="D24" s="13" t="s">
        <v>15</v>
      </c>
      <c r="E24" s="13" t="s">
        <v>14</v>
      </c>
      <c r="F24" s="12" t="s">
        <v>45</v>
      </c>
      <c r="G24" s="12" t="s">
        <v>132</v>
      </c>
      <c r="H24" s="12" t="s">
        <v>133</v>
      </c>
      <c r="I24" s="12" t="s">
        <v>48</v>
      </c>
      <c r="J24" s="13" t="s">
        <v>26</v>
      </c>
      <c r="K24" s="12" t="s">
        <v>49</v>
      </c>
    </row>
    <row r="25" ht="46" customHeight="1" spans="1:11">
      <c r="A25" s="6" t="s">
        <v>134</v>
      </c>
      <c r="B25" s="7" t="s">
        <v>43</v>
      </c>
      <c r="C25" s="8" t="s">
        <v>135</v>
      </c>
      <c r="D25" s="9" t="s">
        <v>15</v>
      </c>
      <c r="E25" s="9" t="s">
        <v>14</v>
      </c>
      <c r="F25" s="8" t="s">
        <v>45</v>
      </c>
      <c r="G25" s="8" t="s">
        <v>136</v>
      </c>
      <c r="H25" s="8" t="s">
        <v>137</v>
      </c>
      <c r="I25" s="8" t="s">
        <v>48</v>
      </c>
      <c r="J25" s="9" t="s">
        <v>26</v>
      </c>
      <c r="K25" s="8" t="s">
        <v>49</v>
      </c>
    </row>
    <row r="26" ht="46" customHeight="1" spans="1:11">
      <c r="A26" s="10" t="s">
        <v>138</v>
      </c>
      <c r="B26" s="11" t="s">
        <v>43</v>
      </c>
      <c r="C26" s="12" t="s">
        <v>139</v>
      </c>
      <c r="D26" s="13" t="s">
        <v>15</v>
      </c>
      <c r="E26" s="13" t="s">
        <v>14</v>
      </c>
      <c r="F26" s="12" t="s">
        <v>45</v>
      </c>
      <c r="G26" s="12" t="s">
        <v>140</v>
      </c>
      <c r="H26" s="12" t="s">
        <v>141</v>
      </c>
      <c r="I26" s="12" t="s">
        <v>48</v>
      </c>
      <c r="J26" s="13" t="s">
        <v>26</v>
      </c>
      <c r="K26" s="12" t="s">
        <v>49</v>
      </c>
    </row>
    <row r="27" ht="46" customHeight="1" spans="1:11">
      <c r="A27" s="6" t="s">
        <v>142</v>
      </c>
      <c r="B27" s="7" t="s">
        <v>43</v>
      </c>
      <c r="C27" s="8" t="s">
        <v>143</v>
      </c>
      <c r="D27" s="9" t="s">
        <v>15</v>
      </c>
      <c r="E27" s="9" t="s">
        <v>14</v>
      </c>
      <c r="F27" s="8" t="s">
        <v>45</v>
      </c>
      <c r="G27" s="8" t="s">
        <v>144</v>
      </c>
      <c r="H27" s="8" t="s">
        <v>145</v>
      </c>
      <c r="I27" s="8" t="s">
        <v>48</v>
      </c>
      <c r="J27" s="9" t="s">
        <v>26</v>
      </c>
      <c r="K27" s="8" t="s">
        <v>49</v>
      </c>
    </row>
    <row r="28" ht="46" customHeight="1" spans="1:11">
      <c r="A28" s="10" t="s">
        <v>146</v>
      </c>
      <c r="B28" s="11" t="s">
        <v>43</v>
      </c>
      <c r="C28" s="12" t="s">
        <v>147</v>
      </c>
      <c r="D28" s="13" t="s">
        <v>15</v>
      </c>
      <c r="E28" s="13" t="s">
        <v>14</v>
      </c>
      <c r="F28" s="12" t="s">
        <v>45</v>
      </c>
      <c r="G28" s="12" t="s">
        <v>148</v>
      </c>
      <c r="H28" s="12" t="s">
        <v>149</v>
      </c>
      <c r="I28" s="12" t="s">
        <v>48</v>
      </c>
      <c r="J28" s="13" t="s">
        <v>26</v>
      </c>
      <c r="K28" s="12" t="s">
        <v>49</v>
      </c>
    </row>
    <row r="29" ht="46" customHeight="1" spans="1:11">
      <c r="A29" s="6" t="s">
        <v>150</v>
      </c>
      <c r="B29" s="7" t="s">
        <v>43</v>
      </c>
      <c r="C29" s="8" t="s">
        <v>151</v>
      </c>
      <c r="D29" s="9" t="s">
        <v>15</v>
      </c>
      <c r="E29" s="9" t="s">
        <v>14</v>
      </c>
      <c r="F29" s="8" t="s">
        <v>45</v>
      </c>
      <c r="G29" s="8" t="s">
        <v>152</v>
      </c>
      <c r="H29" s="8" t="s">
        <v>153</v>
      </c>
      <c r="I29" s="8" t="s">
        <v>48</v>
      </c>
      <c r="J29" s="9" t="s">
        <v>26</v>
      </c>
      <c r="K29" s="8" t="s">
        <v>49</v>
      </c>
    </row>
    <row r="30" ht="46" customHeight="1" spans="1:11">
      <c r="A30" s="10" t="s">
        <v>154</v>
      </c>
      <c r="B30" s="11" t="s">
        <v>43</v>
      </c>
      <c r="C30" s="12" t="s">
        <v>155</v>
      </c>
      <c r="D30" s="13" t="s">
        <v>15</v>
      </c>
      <c r="E30" s="13" t="s">
        <v>14</v>
      </c>
      <c r="F30" s="12" t="s">
        <v>45</v>
      </c>
      <c r="G30" s="12" t="s">
        <v>156</v>
      </c>
      <c r="H30" s="12" t="s">
        <v>157</v>
      </c>
      <c r="I30" s="12" t="s">
        <v>48</v>
      </c>
      <c r="J30" s="13" t="s">
        <v>26</v>
      </c>
      <c r="K30" s="12" t="s">
        <v>49</v>
      </c>
    </row>
    <row r="31" ht="46" customHeight="1" spans="1:11">
      <c r="A31" s="6" t="s">
        <v>158</v>
      </c>
      <c r="B31" s="7" t="s">
        <v>43</v>
      </c>
      <c r="C31" s="8" t="s">
        <v>159</v>
      </c>
      <c r="D31" s="9" t="s">
        <v>15</v>
      </c>
      <c r="E31" s="9" t="s">
        <v>14</v>
      </c>
      <c r="F31" s="8" t="s">
        <v>45</v>
      </c>
      <c r="G31" s="8" t="s">
        <v>160</v>
      </c>
      <c r="H31" s="8" t="s">
        <v>161</v>
      </c>
      <c r="I31" s="8" t="s">
        <v>48</v>
      </c>
      <c r="J31" s="9" t="s">
        <v>26</v>
      </c>
      <c r="K31" s="8" t="s">
        <v>49</v>
      </c>
    </row>
    <row r="32" ht="46" customHeight="1" spans="1:11">
      <c r="A32" s="10" t="s">
        <v>162</v>
      </c>
      <c r="B32" s="11" t="s">
        <v>43</v>
      </c>
      <c r="C32" s="12" t="s">
        <v>163</v>
      </c>
      <c r="D32" s="13" t="s">
        <v>15</v>
      </c>
      <c r="E32" s="13" t="s">
        <v>14</v>
      </c>
      <c r="F32" s="12" t="s">
        <v>45</v>
      </c>
      <c r="G32" s="12" t="s">
        <v>164</v>
      </c>
      <c r="H32" s="12" t="s">
        <v>165</v>
      </c>
      <c r="I32" s="12" t="s">
        <v>48</v>
      </c>
      <c r="J32" s="13" t="s">
        <v>26</v>
      </c>
      <c r="K32" s="12" t="s">
        <v>49</v>
      </c>
    </row>
    <row r="33" ht="46" customHeight="1" spans="1:11">
      <c r="A33" s="6" t="s">
        <v>166</v>
      </c>
      <c r="B33" s="7" t="s">
        <v>43</v>
      </c>
      <c r="C33" s="8" t="s">
        <v>167</v>
      </c>
      <c r="D33" s="9" t="s">
        <v>15</v>
      </c>
      <c r="E33" s="9" t="s">
        <v>14</v>
      </c>
      <c r="F33" s="8" t="s">
        <v>45</v>
      </c>
      <c r="G33" s="8" t="s">
        <v>168</v>
      </c>
      <c r="H33" s="8" t="s">
        <v>169</v>
      </c>
      <c r="I33" s="8" t="s">
        <v>48</v>
      </c>
      <c r="J33" s="9" t="s">
        <v>26</v>
      </c>
      <c r="K33" s="8" t="s">
        <v>49</v>
      </c>
    </row>
    <row r="34" ht="46" customHeight="1" spans="1:11">
      <c r="A34" s="10" t="s">
        <v>170</v>
      </c>
      <c r="B34" s="11" t="s">
        <v>43</v>
      </c>
      <c r="C34" s="12" t="s">
        <v>171</v>
      </c>
      <c r="D34" s="13" t="s">
        <v>15</v>
      </c>
      <c r="E34" s="13" t="s">
        <v>14</v>
      </c>
      <c r="F34" s="12" t="s">
        <v>45</v>
      </c>
      <c r="G34" s="12" t="s">
        <v>172</v>
      </c>
      <c r="H34" s="12" t="s">
        <v>173</v>
      </c>
      <c r="I34" s="12" t="s">
        <v>48</v>
      </c>
      <c r="J34" s="13" t="s">
        <v>26</v>
      </c>
      <c r="K34" s="12" t="s">
        <v>49</v>
      </c>
    </row>
    <row r="35" ht="46" customHeight="1" spans="1:11">
      <c r="A35" s="6" t="s">
        <v>174</v>
      </c>
      <c r="B35" s="7" t="s">
        <v>43</v>
      </c>
      <c r="C35" s="8" t="s">
        <v>175</v>
      </c>
      <c r="D35" s="9" t="s">
        <v>15</v>
      </c>
      <c r="E35" s="9" t="s">
        <v>14</v>
      </c>
      <c r="F35" s="8" t="s">
        <v>45</v>
      </c>
      <c r="G35" s="8" t="s">
        <v>176</v>
      </c>
      <c r="H35" s="8" t="s">
        <v>177</v>
      </c>
      <c r="I35" s="8" t="s">
        <v>48</v>
      </c>
      <c r="J35" s="9" t="s">
        <v>26</v>
      </c>
      <c r="K35" s="8" t="s">
        <v>49</v>
      </c>
    </row>
    <row r="36" ht="46" customHeight="1" spans="1:11">
      <c r="A36" s="10" t="s">
        <v>178</v>
      </c>
      <c r="B36" s="11" t="s">
        <v>43</v>
      </c>
      <c r="C36" s="12" t="s">
        <v>179</v>
      </c>
      <c r="D36" s="13" t="s">
        <v>15</v>
      </c>
      <c r="E36" s="13" t="s">
        <v>14</v>
      </c>
      <c r="F36" s="12" t="s">
        <v>45</v>
      </c>
      <c r="G36" s="12" t="s">
        <v>180</v>
      </c>
      <c r="H36" s="12" t="s">
        <v>181</v>
      </c>
      <c r="I36" s="12" t="s">
        <v>48</v>
      </c>
      <c r="J36" s="13" t="s">
        <v>26</v>
      </c>
      <c r="K36" s="12" t="s">
        <v>49</v>
      </c>
    </row>
    <row r="37" ht="46" customHeight="1" spans="1:11">
      <c r="A37" s="6" t="s">
        <v>182</v>
      </c>
      <c r="B37" s="7" t="s">
        <v>43</v>
      </c>
      <c r="C37" s="8" t="s">
        <v>183</v>
      </c>
      <c r="D37" s="9" t="s">
        <v>15</v>
      </c>
      <c r="E37" s="9" t="s">
        <v>14</v>
      </c>
      <c r="F37" s="8" t="s">
        <v>45</v>
      </c>
      <c r="G37" s="8" t="s">
        <v>184</v>
      </c>
      <c r="H37" s="8" t="s">
        <v>185</v>
      </c>
      <c r="I37" s="8" t="s">
        <v>48</v>
      </c>
      <c r="J37" s="9" t="s">
        <v>26</v>
      </c>
      <c r="K37" s="8" t="s">
        <v>49</v>
      </c>
    </row>
    <row r="38" ht="46" customHeight="1" spans="1:11">
      <c r="A38" s="10" t="s">
        <v>186</v>
      </c>
      <c r="B38" s="11" t="s">
        <v>43</v>
      </c>
      <c r="C38" s="12" t="s">
        <v>187</v>
      </c>
      <c r="D38" s="13" t="s">
        <v>15</v>
      </c>
      <c r="E38" s="13" t="s">
        <v>14</v>
      </c>
      <c r="F38" s="12" t="s">
        <v>45</v>
      </c>
      <c r="G38" s="12" t="s">
        <v>188</v>
      </c>
      <c r="H38" s="12" t="s">
        <v>189</v>
      </c>
      <c r="I38" s="12" t="s">
        <v>48</v>
      </c>
      <c r="J38" s="13" t="s">
        <v>26</v>
      </c>
      <c r="K38" s="12" t="s">
        <v>49</v>
      </c>
    </row>
    <row r="39" ht="46" customHeight="1" spans="1:11">
      <c r="A39" s="6" t="s">
        <v>190</v>
      </c>
      <c r="B39" s="7" t="s">
        <v>43</v>
      </c>
      <c r="C39" s="8" t="s">
        <v>191</v>
      </c>
      <c r="D39" s="9" t="s">
        <v>15</v>
      </c>
      <c r="E39" s="9" t="s">
        <v>14</v>
      </c>
      <c r="F39" s="8" t="s">
        <v>45</v>
      </c>
      <c r="G39" s="8" t="s">
        <v>192</v>
      </c>
      <c r="H39" s="8" t="s">
        <v>193</v>
      </c>
      <c r="I39" s="8" t="s">
        <v>48</v>
      </c>
      <c r="J39" s="9" t="s">
        <v>26</v>
      </c>
      <c r="K39" s="8" t="s">
        <v>49</v>
      </c>
    </row>
    <row r="40" ht="46" customHeight="1" spans="1:11">
      <c r="A40" s="10" t="s">
        <v>194</v>
      </c>
      <c r="B40" s="11" t="s">
        <v>43</v>
      </c>
      <c r="C40" s="12" t="s">
        <v>195</v>
      </c>
      <c r="D40" s="13" t="s">
        <v>15</v>
      </c>
      <c r="E40" s="13" t="s">
        <v>14</v>
      </c>
      <c r="F40" s="12" t="s">
        <v>45</v>
      </c>
      <c r="G40" s="12" t="s">
        <v>196</v>
      </c>
      <c r="H40" s="12" t="s">
        <v>197</v>
      </c>
      <c r="I40" s="12" t="s">
        <v>48</v>
      </c>
      <c r="J40" s="13" t="s">
        <v>26</v>
      </c>
      <c r="K40" s="12" t="s">
        <v>49</v>
      </c>
    </row>
    <row r="41" ht="46" customHeight="1" spans="1:11">
      <c r="A41" s="6" t="s">
        <v>198</v>
      </c>
      <c r="B41" s="7" t="s">
        <v>43</v>
      </c>
      <c r="C41" s="8" t="s">
        <v>199</v>
      </c>
      <c r="D41" s="9" t="s">
        <v>15</v>
      </c>
      <c r="E41" s="9" t="s">
        <v>14</v>
      </c>
      <c r="F41" s="8" t="s">
        <v>45</v>
      </c>
      <c r="G41" s="8" t="s">
        <v>200</v>
      </c>
      <c r="H41" s="8" t="s">
        <v>201</v>
      </c>
      <c r="I41" s="8" t="s">
        <v>48</v>
      </c>
      <c r="J41" s="9" t="s">
        <v>26</v>
      </c>
      <c r="K41" s="8" t="s">
        <v>49</v>
      </c>
    </row>
    <row r="42" ht="46" customHeight="1" spans="1:11">
      <c r="A42" s="10" t="s">
        <v>202</v>
      </c>
      <c r="B42" s="11" t="s">
        <v>43</v>
      </c>
      <c r="C42" s="12" t="s">
        <v>203</v>
      </c>
      <c r="D42" s="13" t="s">
        <v>15</v>
      </c>
      <c r="E42" s="13" t="s">
        <v>14</v>
      </c>
      <c r="F42" s="12" t="s">
        <v>45</v>
      </c>
      <c r="G42" s="12" t="s">
        <v>204</v>
      </c>
      <c r="H42" s="12" t="s">
        <v>205</v>
      </c>
      <c r="I42" s="12" t="s">
        <v>48</v>
      </c>
      <c r="J42" s="13" t="s">
        <v>26</v>
      </c>
      <c r="K42" s="12" t="s">
        <v>49</v>
      </c>
    </row>
    <row r="43" ht="46" customHeight="1" spans="1:11">
      <c r="A43" s="6" t="s">
        <v>206</v>
      </c>
      <c r="B43" s="7" t="s">
        <v>43</v>
      </c>
      <c r="C43" s="8" t="s">
        <v>207</v>
      </c>
      <c r="D43" s="9" t="s">
        <v>15</v>
      </c>
      <c r="E43" s="9" t="s">
        <v>14</v>
      </c>
      <c r="F43" s="8" t="s">
        <v>45</v>
      </c>
      <c r="G43" s="8" t="s">
        <v>208</v>
      </c>
      <c r="H43" s="8" t="s">
        <v>209</v>
      </c>
      <c r="I43" s="8" t="s">
        <v>48</v>
      </c>
      <c r="J43" s="9" t="s">
        <v>26</v>
      </c>
      <c r="K43" s="8" t="s">
        <v>49</v>
      </c>
    </row>
    <row r="44" ht="46" customHeight="1" spans="1:11">
      <c r="A44" s="10" t="s">
        <v>210</v>
      </c>
      <c r="B44" s="11" t="s">
        <v>43</v>
      </c>
      <c r="C44" s="12" t="s">
        <v>211</v>
      </c>
      <c r="D44" s="13" t="s">
        <v>15</v>
      </c>
      <c r="E44" s="13" t="s">
        <v>14</v>
      </c>
      <c r="F44" s="12" t="s">
        <v>45</v>
      </c>
      <c r="G44" s="12" t="s">
        <v>212</v>
      </c>
      <c r="H44" s="12" t="s">
        <v>213</v>
      </c>
      <c r="I44" s="12" t="s">
        <v>48</v>
      </c>
      <c r="J44" s="13" t="s">
        <v>26</v>
      </c>
      <c r="K44" s="12" t="s">
        <v>49</v>
      </c>
    </row>
    <row r="45" ht="46" customHeight="1" spans="1:11">
      <c r="A45" s="6" t="s">
        <v>214</v>
      </c>
      <c r="B45" s="7" t="s">
        <v>215</v>
      </c>
      <c r="C45" s="8" t="s">
        <v>216</v>
      </c>
      <c r="D45" s="9" t="s">
        <v>20</v>
      </c>
      <c r="E45" s="9" t="s">
        <v>19</v>
      </c>
      <c r="F45" s="8" t="s">
        <v>45</v>
      </c>
      <c r="G45" s="8" t="s">
        <v>217</v>
      </c>
      <c r="H45" s="8" t="s">
        <v>218</v>
      </c>
      <c r="I45" s="8" t="s">
        <v>219</v>
      </c>
      <c r="J45" s="9" t="s">
        <v>27</v>
      </c>
      <c r="K45" s="8" t="s">
        <v>220</v>
      </c>
    </row>
    <row r="46" ht="46" customHeight="1" spans="1:11">
      <c r="A46" s="10" t="s">
        <v>221</v>
      </c>
      <c r="B46" s="11" t="s">
        <v>215</v>
      </c>
      <c r="C46" s="12" t="s">
        <v>222</v>
      </c>
      <c r="D46" s="13" t="s">
        <v>20</v>
      </c>
      <c r="E46" s="13" t="s">
        <v>19</v>
      </c>
      <c r="F46" s="12" t="s">
        <v>45</v>
      </c>
      <c r="G46" s="12" t="s">
        <v>223</v>
      </c>
      <c r="H46" s="12" t="s">
        <v>224</v>
      </c>
      <c r="I46" s="12" t="s">
        <v>219</v>
      </c>
      <c r="J46" s="13" t="s">
        <v>27</v>
      </c>
      <c r="K46" s="12" t="s">
        <v>220</v>
      </c>
    </row>
    <row r="47" ht="46" customHeight="1" spans="1:11">
      <c r="A47" s="6" t="s">
        <v>225</v>
      </c>
      <c r="B47" s="7" t="s">
        <v>215</v>
      </c>
      <c r="C47" s="8" t="s">
        <v>226</v>
      </c>
      <c r="D47" s="9" t="s">
        <v>20</v>
      </c>
      <c r="E47" s="9" t="s">
        <v>19</v>
      </c>
      <c r="F47" s="8" t="s">
        <v>45</v>
      </c>
      <c r="G47" s="8" t="s">
        <v>227</v>
      </c>
      <c r="H47" s="8" t="s">
        <v>228</v>
      </c>
      <c r="I47" s="8" t="s">
        <v>219</v>
      </c>
      <c r="J47" s="9" t="s">
        <v>27</v>
      </c>
      <c r="K47" s="8" t="s">
        <v>220</v>
      </c>
    </row>
    <row r="48" ht="46" customHeight="1" spans="1:11">
      <c r="A48" s="10" t="s">
        <v>229</v>
      </c>
      <c r="B48" s="11" t="s">
        <v>215</v>
      </c>
      <c r="C48" s="12" t="s">
        <v>230</v>
      </c>
      <c r="D48" s="13" t="s">
        <v>20</v>
      </c>
      <c r="E48" s="13" t="s">
        <v>19</v>
      </c>
      <c r="F48" s="12" t="s">
        <v>45</v>
      </c>
      <c r="G48" s="12" t="s">
        <v>231</v>
      </c>
      <c r="H48" s="12" t="s">
        <v>232</v>
      </c>
      <c r="I48" s="12" t="s">
        <v>219</v>
      </c>
      <c r="J48" s="13" t="s">
        <v>27</v>
      </c>
      <c r="K48" s="12" t="s">
        <v>220</v>
      </c>
    </row>
    <row r="49" ht="46" customHeight="1" spans="1:11">
      <c r="A49" s="6" t="s">
        <v>233</v>
      </c>
      <c r="B49" s="7" t="s">
        <v>215</v>
      </c>
      <c r="C49" s="8" t="s">
        <v>234</v>
      </c>
      <c r="D49" s="9" t="s">
        <v>20</v>
      </c>
      <c r="E49" s="9" t="s">
        <v>19</v>
      </c>
      <c r="F49" s="8" t="s">
        <v>45</v>
      </c>
      <c r="G49" s="8" t="s">
        <v>235</v>
      </c>
      <c r="H49" s="8" t="s">
        <v>218</v>
      </c>
      <c r="I49" s="8" t="s">
        <v>219</v>
      </c>
      <c r="J49" s="9" t="s">
        <v>26</v>
      </c>
      <c r="K49" s="8" t="s">
        <v>49</v>
      </c>
    </row>
    <row r="50" ht="46" customHeight="1" spans="1:11">
      <c r="A50" s="10" t="s">
        <v>236</v>
      </c>
      <c r="B50" s="11" t="s">
        <v>215</v>
      </c>
      <c r="C50" s="12" t="s">
        <v>237</v>
      </c>
      <c r="D50" s="13" t="s">
        <v>20</v>
      </c>
      <c r="E50" s="13" t="s">
        <v>19</v>
      </c>
      <c r="F50" s="12" t="s">
        <v>45</v>
      </c>
      <c r="G50" s="12" t="s">
        <v>238</v>
      </c>
      <c r="H50" s="12" t="s">
        <v>224</v>
      </c>
      <c r="I50" s="12" t="s">
        <v>219</v>
      </c>
      <c r="J50" s="13" t="s">
        <v>26</v>
      </c>
      <c r="K50" s="12" t="s">
        <v>49</v>
      </c>
    </row>
    <row r="51" ht="46" customHeight="1" spans="1:11">
      <c r="A51" s="6" t="s">
        <v>239</v>
      </c>
      <c r="B51" s="7" t="s">
        <v>215</v>
      </c>
      <c r="C51" s="8" t="s">
        <v>240</v>
      </c>
      <c r="D51" s="9" t="s">
        <v>20</v>
      </c>
      <c r="E51" s="9" t="s">
        <v>19</v>
      </c>
      <c r="F51" s="8" t="s">
        <v>45</v>
      </c>
      <c r="G51" s="8" t="s">
        <v>241</v>
      </c>
      <c r="H51" s="8" t="s">
        <v>228</v>
      </c>
      <c r="I51" s="8" t="s">
        <v>219</v>
      </c>
      <c r="J51" s="9" t="s">
        <v>27</v>
      </c>
      <c r="K51" s="8" t="s">
        <v>220</v>
      </c>
    </row>
    <row r="52" ht="46" customHeight="1" spans="1:11">
      <c r="A52" s="10" t="s">
        <v>242</v>
      </c>
      <c r="B52" s="11" t="s">
        <v>215</v>
      </c>
      <c r="C52" s="12" t="s">
        <v>243</v>
      </c>
      <c r="D52" s="13" t="s">
        <v>20</v>
      </c>
      <c r="E52" s="13" t="s">
        <v>19</v>
      </c>
      <c r="F52" s="12" t="s">
        <v>45</v>
      </c>
      <c r="G52" s="12" t="s">
        <v>244</v>
      </c>
      <c r="H52" s="12" t="s">
        <v>232</v>
      </c>
      <c r="I52" s="12" t="s">
        <v>219</v>
      </c>
      <c r="J52" s="13" t="s">
        <v>26</v>
      </c>
      <c r="K52" s="12" t="s">
        <v>49</v>
      </c>
    </row>
    <row r="53" ht="46" customHeight="1" spans="1:11">
      <c r="A53" s="6" t="s">
        <v>245</v>
      </c>
      <c r="B53" s="7" t="s">
        <v>215</v>
      </c>
      <c r="C53" s="8" t="s">
        <v>246</v>
      </c>
      <c r="D53" s="9" t="s">
        <v>20</v>
      </c>
      <c r="E53" s="9" t="s">
        <v>19</v>
      </c>
      <c r="F53" s="8" t="s">
        <v>45</v>
      </c>
      <c r="G53" s="8" t="s">
        <v>247</v>
      </c>
      <c r="H53" s="8" t="s">
        <v>218</v>
      </c>
      <c r="I53" s="8" t="s">
        <v>219</v>
      </c>
      <c r="J53" s="9" t="s">
        <v>26</v>
      </c>
      <c r="K53" s="8" t="s">
        <v>49</v>
      </c>
    </row>
    <row r="54" ht="46" customHeight="1" spans="1:11">
      <c r="A54" s="10" t="s">
        <v>248</v>
      </c>
      <c r="B54" s="11" t="s">
        <v>215</v>
      </c>
      <c r="C54" s="12" t="s">
        <v>249</v>
      </c>
      <c r="D54" s="13" t="s">
        <v>20</v>
      </c>
      <c r="E54" s="13" t="s">
        <v>19</v>
      </c>
      <c r="F54" s="12" t="s">
        <v>45</v>
      </c>
      <c r="G54" s="12" t="s">
        <v>250</v>
      </c>
      <c r="H54" s="12" t="s">
        <v>224</v>
      </c>
      <c r="I54" s="12" t="s">
        <v>219</v>
      </c>
      <c r="J54" s="13" t="s">
        <v>26</v>
      </c>
      <c r="K54" s="12" t="s">
        <v>49</v>
      </c>
    </row>
    <row r="55" ht="46" customHeight="1" spans="1:11">
      <c r="A55" s="6" t="s">
        <v>251</v>
      </c>
      <c r="B55" s="7" t="s">
        <v>215</v>
      </c>
      <c r="C55" s="8" t="s">
        <v>252</v>
      </c>
      <c r="D55" s="9" t="s">
        <v>20</v>
      </c>
      <c r="E55" s="9" t="s">
        <v>19</v>
      </c>
      <c r="F55" s="8" t="s">
        <v>45</v>
      </c>
      <c r="G55" s="8" t="s">
        <v>253</v>
      </c>
      <c r="H55" s="8" t="s">
        <v>228</v>
      </c>
      <c r="I55" s="8" t="s">
        <v>219</v>
      </c>
      <c r="J55" s="9" t="s">
        <v>26</v>
      </c>
      <c r="K55" s="8" t="s">
        <v>49</v>
      </c>
    </row>
    <row r="56" ht="46" customHeight="1" spans="1:11">
      <c r="A56" s="10" t="s">
        <v>254</v>
      </c>
      <c r="B56" s="11" t="s">
        <v>215</v>
      </c>
      <c r="C56" s="12" t="s">
        <v>255</v>
      </c>
      <c r="D56" s="13" t="s">
        <v>20</v>
      </c>
      <c r="E56" s="13" t="s">
        <v>19</v>
      </c>
      <c r="F56" s="12" t="s">
        <v>45</v>
      </c>
      <c r="G56" s="12" t="s">
        <v>256</v>
      </c>
      <c r="H56" s="12" t="s">
        <v>232</v>
      </c>
      <c r="I56" s="12" t="s">
        <v>219</v>
      </c>
      <c r="J56" s="13" t="s">
        <v>27</v>
      </c>
      <c r="K56" s="12" t="s">
        <v>220</v>
      </c>
    </row>
    <row r="57" ht="46" customHeight="1" spans="1:11">
      <c r="A57" s="6" t="s">
        <v>257</v>
      </c>
      <c r="B57" s="7" t="s">
        <v>215</v>
      </c>
      <c r="C57" s="8" t="s">
        <v>258</v>
      </c>
      <c r="D57" s="9" t="s">
        <v>20</v>
      </c>
      <c r="E57" s="9" t="s">
        <v>19</v>
      </c>
      <c r="F57" s="8" t="s">
        <v>45</v>
      </c>
      <c r="G57" s="8" t="s">
        <v>259</v>
      </c>
      <c r="H57" s="8" t="s">
        <v>218</v>
      </c>
      <c r="I57" s="8" t="s">
        <v>219</v>
      </c>
      <c r="J57" s="9" t="s">
        <v>26</v>
      </c>
      <c r="K57" s="8" t="s">
        <v>49</v>
      </c>
    </row>
    <row r="58" ht="46" customHeight="1" spans="1:11">
      <c r="A58" s="10" t="s">
        <v>260</v>
      </c>
      <c r="B58" s="11" t="s">
        <v>215</v>
      </c>
      <c r="C58" s="12" t="s">
        <v>261</v>
      </c>
      <c r="D58" s="13" t="s">
        <v>20</v>
      </c>
      <c r="E58" s="13" t="s">
        <v>19</v>
      </c>
      <c r="F58" s="12" t="s">
        <v>45</v>
      </c>
      <c r="G58" s="12" t="s">
        <v>262</v>
      </c>
      <c r="H58" s="12" t="s">
        <v>224</v>
      </c>
      <c r="I58" s="12" t="s">
        <v>219</v>
      </c>
      <c r="J58" s="13" t="s">
        <v>26</v>
      </c>
      <c r="K58" s="12" t="s">
        <v>49</v>
      </c>
    </row>
    <row r="59" ht="46" customHeight="1" spans="1:11">
      <c r="A59" s="6" t="s">
        <v>263</v>
      </c>
      <c r="B59" s="7" t="s">
        <v>215</v>
      </c>
      <c r="C59" s="8" t="s">
        <v>264</v>
      </c>
      <c r="D59" s="9" t="s">
        <v>20</v>
      </c>
      <c r="E59" s="9" t="s">
        <v>19</v>
      </c>
      <c r="F59" s="8" t="s">
        <v>45</v>
      </c>
      <c r="G59" s="8" t="s">
        <v>265</v>
      </c>
      <c r="H59" s="8" t="s">
        <v>228</v>
      </c>
      <c r="I59" s="8" t="s">
        <v>219</v>
      </c>
      <c r="J59" s="9" t="s">
        <v>26</v>
      </c>
      <c r="K59" s="8" t="s">
        <v>49</v>
      </c>
    </row>
    <row r="60" ht="46" customHeight="1" spans="1:11">
      <c r="A60" s="10" t="s">
        <v>266</v>
      </c>
      <c r="B60" s="11" t="s">
        <v>215</v>
      </c>
      <c r="C60" s="12" t="s">
        <v>267</v>
      </c>
      <c r="D60" s="13" t="s">
        <v>20</v>
      </c>
      <c r="E60" s="13" t="s">
        <v>19</v>
      </c>
      <c r="F60" s="12" t="s">
        <v>45</v>
      </c>
      <c r="G60" s="12" t="s">
        <v>268</v>
      </c>
      <c r="H60" s="12" t="s">
        <v>232</v>
      </c>
      <c r="I60" s="12" t="s">
        <v>219</v>
      </c>
      <c r="J60" s="13" t="s">
        <v>26</v>
      </c>
      <c r="K60" s="12" t="s">
        <v>49</v>
      </c>
    </row>
    <row r="61" ht="46" customHeight="1" spans="1:11">
      <c r="A61" s="6" t="s">
        <v>269</v>
      </c>
      <c r="B61" s="7" t="s">
        <v>215</v>
      </c>
      <c r="C61" s="8" t="s">
        <v>270</v>
      </c>
      <c r="D61" s="9" t="s">
        <v>20</v>
      </c>
      <c r="E61" s="9" t="s">
        <v>19</v>
      </c>
      <c r="F61" s="8" t="s">
        <v>45</v>
      </c>
      <c r="G61" s="8" t="s">
        <v>271</v>
      </c>
      <c r="H61" s="8" t="s">
        <v>218</v>
      </c>
      <c r="I61" s="8" t="s">
        <v>219</v>
      </c>
      <c r="J61" s="9" t="s">
        <v>27</v>
      </c>
      <c r="K61" s="8" t="s">
        <v>220</v>
      </c>
    </row>
    <row r="62" ht="46" customHeight="1" spans="1:11">
      <c r="A62" s="10" t="s">
        <v>272</v>
      </c>
      <c r="B62" s="11" t="s">
        <v>215</v>
      </c>
      <c r="C62" s="12" t="s">
        <v>273</v>
      </c>
      <c r="D62" s="13" t="s">
        <v>20</v>
      </c>
      <c r="E62" s="13" t="s">
        <v>19</v>
      </c>
      <c r="F62" s="12" t="s">
        <v>45</v>
      </c>
      <c r="G62" s="12" t="s">
        <v>274</v>
      </c>
      <c r="H62" s="12" t="s">
        <v>224</v>
      </c>
      <c r="I62" s="12" t="s">
        <v>219</v>
      </c>
      <c r="J62" s="13" t="s">
        <v>27</v>
      </c>
      <c r="K62" s="12" t="s">
        <v>220</v>
      </c>
    </row>
    <row r="63" ht="46" customHeight="1" spans="1:11">
      <c r="A63" s="6" t="s">
        <v>275</v>
      </c>
      <c r="B63" s="7" t="s">
        <v>215</v>
      </c>
      <c r="C63" s="8" t="s">
        <v>276</v>
      </c>
      <c r="D63" s="9" t="s">
        <v>20</v>
      </c>
      <c r="E63" s="9" t="s">
        <v>19</v>
      </c>
      <c r="F63" s="8" t="s">
        <v>45</v>
      </c>
      <c r="G63" s="8" t="s">
        <v>277</v>
      </c>
      <c r="H63" s="8" t="s">
        <v>228</v>
      </c>
      <c r="I63" s="8" t="s">
        <v>219</v>
      </c>
      <c r="J63" s="9" t="s">
        <v>26</v>
      </c>
      <c r="K63" s="8" t="s">
        <v>49</v>
      </c>
    </row>
    <row r="64" ht="46" customHeight="1" spans="1:11">
      <c r="A64" s="10" t="s">
        <v>278</v>
      </c>
      <c r="B64" s="11" t="s">
        <v>215</v>
      </c>
      <c r="C64" s="12" t="s">
        <v>279</v>
      </c>
      <c r="D64" s="13" t="s">
        <v>20</v>
      </c>
      <c r="E64" s="13" t="s">
        <v>19</v>
      </c>
      <c r="F64" s="12" t="s">
        <v>45</v>
      </c>
      <c r="G64" s="12" t="s">
        <v>280</v>
      </c>
      <c r="H64" s="12" t="s">
        <v>232</v>
      </c>
      <c r="I64" s="12" t="s">
        <v>219</v>
      </c>
      <c r="J64" s="13" t="s">
        <v>27</v>
      </c>
      <c r="K64" s="12" t="s">
        <v>220</v>
      </c>
    </row>
    <row r="65" ht="46" customHeight="1" spans="1:11">
      <c r="A65" s="6" t="s">
        <v>281</v>
      </c>
      <c r="B65" s="7" t="s">
        <v>215</v>
      </c>
      <c r="C65" s="8" t="s">
        <v>282</v>
      </c>
      <c r="D65" s="9" t="s">
        <v>20</v>
      </c>
      <c r="E65" s="9" t="s">
        <v>19</v>
      </c>
      <c r="F65" s="8" t="s">
        <v>45</v>
      </c>
      <c r="G65" s="8" t="s">
        <v>283</v>
      </c>
      <c r="H65" s="8" t="s">
        <v>218</v>
      </c>
      <c r="I65" s="8" t="s">
        <v>219</v>
      </c>
      <c r="J65" s="9" t="s">
        <v>26</v>
      </c>
      <c r="K65" s="8" t="s">
        <v>49</v>
      </c>
    </row>
    <row r="66" ht="46" customHeight="1" spans="1:11">
      <c r="A66" s="10" t="s">
        <v>284</v>
      </c>
      <c r="B66" s="11" t="s">
        <v>215</v>
      </c>
      <c r="C66" s="12" t="s">
        <v>285</v>
      </c>
      <c r="D66" s="13" t="s">
        <v>20</v>
      </c>
      <c r="E66" s="13" t="s">
        <v>19</v>
      </c>
      <c r="F66" s="12" t="s">
        <v>45</v>
      </c>
      <c r="G66" s="12" t="s">
        <v>286</v>
      </c>
      <c r="H66" s="12" t="s">
        <v>224</v>
      </c>
      <c r="I66" s="12" t="s">
        <v>219</v>
      </c>
      <c r="J66" s="13" t="s">
        <v>26</v>
      </c>
      <c r="K66" s="12" t="s">
        <v>49</v>
      </c>
    </row>
    <row r="67" ht="46" customHeight="1" spans="1:11">
      <c r="A67" s="6" t="s">
        <v>287</v>
      </c>
      <c r="B67" s="7" t="s">
        <v>215</v>
      </c>
      <c r="C67" s="8" t="s">
        <v>288</v>
      </c>
      <c r="D67" s="9" t="s">
        <v>20</v>
      </c>
      <c r="E67" s="9" t="s">
        <v>19</v>
      </c>
      <c r="F67" s="8" t="s">
        <v>45</v>
      </c>
      <c r="G67" s="8" t="s">
        <v>289</v>
      </c>
      <c r="H67" s="8" t="s">
        <v>228</v>
      </c>
      <c r="I67" s="8" t="s">
        <v>219</v>
      </c>
      <c r="J67" s="9" t="s">
        <v>26</v>
      </c>
      <c r="K67" s="8" t="s">
        <v>49</v>
      </c>
    </row>
    <row r="68" ht="46" customHeight="1" spans="1:11">
      <c r="A68" s="10" t="s">
        <v>290</v>
      </c>
      <c r="B68" s="11" t="s">
        <v>215</v>
      </c>
      <c r="C68" s="12" t="s">
        <v>291</v>
      </c>
      <c r="D68" s="13" t="s">
        <v>20</v>
      </c>
      <c r="E68" s="13" t="s">
        <v>19</v>
      </c>
      <c r="F68" s="12" t="s">
        <v>45</v>
      </c>
      <c r="G68" s="12" t="s">
        <v>292</v>
      </c>
      <c r="H68" s="12" t="s">
        <v>232</v>
      </c>
      <c r="I68" s="12" t="s">
        <v>219</v>
      </c>
      <c r="J68" s="13" t="s">
        <v>26</v>
      </c>
      <c r="K68" s="12" t="s">
        <v>49</v>
      </c>
    </row>
    <row r="69" ht="46" customHeight="1" spans="1:11">
      <c r="A69" s="6" t="s">
        <v>293</v>
      </c>
      <c r="B69" s="7" t="s">
        <v>215</v>
      </c>
      <c r="C69" s="8" t="s">
        <v>294</v>
      </c>
      <c r="D69" s="9" t="s">
        <v>20</v>
      </c>
      <c r="E69" s="9" t="s">
        <v>19</v>
      </c>
      <c r="F69" s="8" t="s">
        <v>45</v>
      </c>
      <c r="G69" s="8" t="s">
        <v>295</v>
      </c>
      <c r="H69" s="8" t="s">
        <v>218</v>
      </c>
      <c r="I69" s="8" t="s">
        <v>219</v>
      </c>
      <c r="J69" s="9" t="s">
        <v>26</v>
      </c>
      <c r="K69" s="8" t="s">
        <v>49</v>
      </c>
    </row>
    <row r="70" ht="46" customHeight="1" spans="1:11">
      <c r="A70" s="10" t="s">
        <v>296</v>
      </c>
      <c r="B70" s="11" t="s">
        <v>215</v>
      </c>
      <c r="C70" s="12" t="s">
        <v>297</v>
      </c>
      <c r="D70" s="13" t="s">
        <v>20</v>
      </c>
      <c r="E70" s="13" t="s">
        <v>19</v>
      </c>
      <c r="F70" s="12" t="s">
        <v>45</v>
      </c>
      <c r="G70" s="12" t="s">
        <v>298</v>
      </c>
      <c r="H70" s="12" t="s">
        <v>224</v>
      </c>
      <c r="I70" s="12" t="s">
        <v>219</v>
      </c>
      <c r="J70" s="13" t="s">
        <v>26</v>
      </c>
      <c r="K70" s="12" t="s">
        <v>49</v>
      </c>
    </row>
    <row r="71" ht="46" customHeight="1" spans="1:11">
      <c r="A71" s="6" t="s">
        <v>299</v>
      </c>
      <c r="B71" s="7" t="s">
        <v>215</v>
      </c>
      <c r="C71" s="8" t="s">
        <v>300</v>
      </c>
      <c r="D71" s="9" t="s">
        <v>20</v>
      </c>
      <c r="E71" s="9" t="s">
        <v>19</v>
      </c>
      <c r="F71" s="8" t="s">
        <v>45</v>
      </c>
      <c r="G71" s="8" t="s">
        <v>301</v>
      </c>
      <c r="H71" s="8" t="s">
        <v>228</v>
      </c>
      <c r="I71" s="8" t="s">
        <v>219</v>
      </c>
      <c r="J71" s="9" t="s">
        <v>26</v>
      </c>
      <c r="K71" s="8" t="s">
        <v>49</v>
      </c>
    </row>
    <row r="72" ht="46" customHeight="1" spans="1:11">
      <c r="A72" s="10" t="s">
        <v>302</v>
      </c>
      <c r="B72" s="11" t="s">
        <v>215</v>
      </c>
      <c r="C72" s="12" t="s">
        <v>303</v>
      </c>
      <c r="D72" s="13" t="s">
        <v>20</v>
      </c>
      <c r="E72" s="13" t="s">
        <v>19</v>
      </c>
      <c r="F72" s="12" t="s">
        <v>45</v>
      </c>
      <c r="G72" s="12" t="s">
        <v>304</v>
      </c>
      <c r="H72" s="12" t="s">
        <v>232</v>
      </c>
      <c r="I72" s="12" t="s">
        <v>219</v>
      </c>
      <c r="J72" s="13" t="s">
        <v>26</v>
      </c>
      <c r="K72" s="12" t="s">
        <v>49</v>
      </c>
    </row>
    <row r="73" ht="46" customHeight="1" spans="1:11">
      <c r="A73" s="6" t="s">
        <v>305</v>
      </c>
      <c r="B73" s="7" t="s">
        <v>215</v>
      </c>
      <c r="C73" s="8" t="s">
        <v>306</v>
      </c>
      <c r="D73" s="9" t="s">
        <v>20</v>
      </c>
      <c r="E73" s="9" t="s">
        <v>19</v>
      </c>
      <c r="F73" s="8" t="s">
        <v>45</v>
      </c>
      <c r="G73" s="8" t="s">
        <v>307</v>
      </c>
      <c r="H73" s="8" t="s">
        <v>218</v>
      </c>
      <c r="I73" s="8" t="s">
        <v>219</v>
      </c>
      <c r="J73" s="9" t="s">
        <v>26</v>
      </c>
      <c r="K73" s="8" t="s">
        <v>49</v>
      </c>
    </row>
    <row r="74" ht="46" customHeight="1" spans="1:11">
      <c r="A74" s="10" t="s">
        <v>308</v>
      </c>
      <c r="B74" s="11" t="s">
        <v>215</v>
      </c>
      <c r="C74" s="12" t="s">
        <v>309</v>
      </c>
      <c r="D74" s="13" t="s">
        <v>20</v>
      </c>
      <c r="E74" s="13" t="s">
        <v>19</v>
      </c>
      <c r="F74" s="12" t="s">
        <v>45</v>
      </c>
      <c r="G74" s="12" t="s">
        <v>310</v>
      </c>
      <c r="H74" s="12" t="s">
        <v>224</v>
      </c>
      <c r="I74" s="12" t="s">
        <v>219</v>
      </c>
      <c r="J74" s="13" t="s">
        <v>26</v>
      </c>
      <c r="K74" s="12" t="s">
        <v>49</v>
      </c>
    </row>
    <row r="75" ht="46" customHeight="1" spans="1:11">
      <c r="A75" s="6" t="s">
        <v>311</v>
      </c>
      <c r="B75" s="7" t="s">
        <v>215</v>
      </c>
      <c r="C75" s="8" t="s">
        <v>312</v>
      </c>
      <c r="D75" s="9" t="s">
        <v>20</v>
      </c>
      <c r="E75" s="9" t="s">
        <v>19</v>
      </c>
      <c r="F75" s="8" t="s">
        <v>45</v>
      </c>
      <c r="G75" s="8" t="s">
        <v>313</v>
      </c>
      <c r="H75" s="8" t="s">
        <v>228</v>
      </c>
      <c r="I75" s="8" t="s">
        <v>219</v>
      </c>
      <c r="J75" s="9" t="s">
        <v>26</v>
      </c>
      <c r="K75" s="8" t="s">
        <v>49</v>
      </c>
    </row>
    <row r="76" ht="46" customHeight="1" spans="1:11">
      <c r="A76" s="10" t="s">
        <v>314</v>
      </c>
      <c r="B76" s="11" t="s">
        <v>215</v>
      </c>
      <c r="C76" s="12" t="s">
        <v>315</v>
      </c>
      <c r="D76" s="13" t="s">
        <v>20</v>
      </c>
      <c r="E76" s="13" t="s">
        <v>19</v>
      </c>
      <c r="F76" s="12" t="s">
        <v>45</v>
      </c>
      <c r="G76" s="12" t="s">
        <v>316</v>
      </c>
      <c r="H76" s="12" t="s">
        <v>232</v>
      </c>
      <c r="I76" s="12" t="s">
        <v>219</v>
      </c>
      <c r="J76" s="13" t="s">
        <v>27</v>
      </c>
      <c r="K76" s="12" t="s">
        <v>220</v>
      </c>
    </row>
    <row r="77" ht="46" customHeight="1" spans="1:11">
      <c r="A77" s="6" t="s">
        <v>317</v>
      </c>
      <c r="B77" s="7" t="s">
        <v>215</v>
      </c>
      <c r="C77" s="8" t="s">
        <v>318</v>
      </c>
      <c r="D77" s="9" t="s">
        <v>20</v>
      </c>
      <c r="E77" s="9" t="s">
        <v>19</v>
      </c>
      <c r="F77" s="8" t="s">
        <v>45</v>
      </c>
      <c r="G77" s="8" t="s">
        <v>319</v>
      </c>
      <c r="H77" s="8" t="s">
        <v>218</v>
      </c>
      <c r="I77" s="8" t="s">
        <v>219</v>
      </c>
      <c r="J77" s="9" t="s">
        <v>26</v>
      </c>
      <c r="K77" s="8" t="s">
        <v>49</v>
      </c>
    </row>
    <row r="78" ht="46" customHeight="1" spans="1:11">
      <c r="A78" s="10" t="s">
        <v>320</v>
      </c>
      <c r="B78" s="11" t="s">
        <v>215</v>
      </c>
      <c r="C78" s="12" t="s">
        <v>321</v>
      </c>
      <c r="D78" s="13" t="s">
        <v>20</v>
      </c>
      <c r="E78" s="13" t="s">
        <v>19</v>
      </c>
      <c r="F78" s="12" t="s">
        <v>45</v>
      </c>
      <c r="G78" s="12" t="s">
        <v>322</v>
      </c>
      <c r="H78" s="12" t="s">
        <v>224</v>
      </c>
      <c r="I78" s="12" t="s">
        <v>219</v>
      </c>
      <c r="J78" s="13" t="s">
        <v>26</v>
      </c>
      <c r="K78" s="12" t="s">
        <v>49</v>
      </c>
    </row>
    <row r="79" ht="46" customHeight="1" spans="1:11">
      <c r="A79" s="6" t="s">
        <v>323</v>
      </c>
      <c r="B79" s="7" t="s">
        <v>215</v>
      </c>
      <c r="C79" s="8" t="s">
        <v>324</v>
      </c>
      <c r="D79" s="9" t="s">
        <v>20</v>
      </c>
      <c r="E79" s="9" t="s">
        <v>19</v>
      </c>
      <c r="F79" s="8" t="s">
        <v>45</v>
      </c>
      <c r="G79" s="8" t="s">
        <v>325</v>
      </c>
      <c r="H79" s="8" t="s">
        <v>228</v>
      </c>
      <c r="I79" s="8" t="s">
        <v>219</v>
      </c>
      <c r="J79" s="9" t="s">
        <v>26</v>
      </c>
      <c r="K79" s="8" t="s">
        <v>49</v>
      </c>
    </row>
    <row r="80" ht="46" customHeight="1" spans="1:11">
      <c r="A80" s="10" t="s">
        <v>326</v>
      </c>
      <c r="B80" s="11" t="s">
        <v>215</v>
      </c>
      <c r="C80" s="12" t="s">
        <v>327</v>
      </c>
      <c r="D80" s="13" t="s">
        <v>20</v>
      </c>
      <c r="E80" s="13" t="s">
        <v>19</v>
      </c>
      <c r="F80" s="12" t="s">
        <v>45</v>
      </c>
      <c r="G80" s="12" t="s">
        <v>328</v>
      </c>
      <c r="H80" s="12" t="s">
        <v>232</v>
      </c>
      <c r="I80" s="12" t="s">
        <v>219</v>
      </c>
      <c r="J80" s="13" t="s">
        <v>26</v>
      </c>
      <c r="K80" s="12" t="s">
        <v>49</v>
      </c>
    </row>
    <row r="81" ht="46" customHeight="1" spans="1:11">
      <c r="A81" s="6" t="s">
        <v>329</v>
      </c>
      <c r="B81" s="7" t="s">
        <v>215</v>
      </c>
      <c r="C81" s="8" t="s">
        <v>330</v>
      </c>
      <c r="D81" s="9" t="s">
        <v>20</v>
      </c>
      <c r="E81" s="9" t="s">
        <v>19</v>
      </c>
      <c r="F81" s="8" t="s">
        <v>45</v>
      </c>
      <c r="G81" s="8" t="s">
        <v>331</v>
      </c>
      <c r="H81" s="8" t="s">
        <v>218</v>
      </c>
      <c r="I81" s="8" t="s">
        <v>219</v>
      </c>
      <c r="J81" s="9" t="s">
        <v>26</v>
      </c>
      <c r="K81" s="8" t="s">
        <v>49</v>
      </c>
    </row>
    <row r="82" ht="46" customHeight="1" spans="1:11">
      <c r="A82" s="10" t="s">
        <v>332</v>
      </c>
      <c r="B82" s="11" t="s">
        <v>215</v>
      </c>
      <c r="C82" s="12" t="s">
        <v>333</v>
      </c>
      <c r="D82" s="13" t="s">
        <v>20</v>
      </c>
      <c r="E82" s="13" t="s">
        <v>19</v>
      </c>
      <c r="F82" s="12" t="s">
        <v>45</v>
      </c>
      <c r="G82" s="12" t="s">
        <v>334</v>
      </c>
      <c r="H82" s="12" t="s">
        <v>224</v>
      </c>
      <c r="I82" s="12" t="s">
        <v>219</v>
      </c>
      <c r="J82" s="13" t="s">
        <v>26</v>
      </c>
      <c r="K82" s="12" t="s">
        <v>49</v>
      </c>
    </row>
    <row r="83" ht="46" customHeight="1" spans="1:11">
      <c r="A83" s="6" t="s">
        <v>335</v>
      </c>
      <c r="B83" s="7" t="s">
        <v>215</v>
      </c>
      <c r="C83" s="8" t="s">
        <v>336</v>
      </c>
      <c r="D83" s="9" t="s">
        <v>20</v>
      </c>
      <c r="E83" s="9" t="s">
        <v>19</v>
      </c>
      <c r="F83" s="8" t="s">
        <v>45</v>
      </c>
      <c r="G83" s="8" t="s">
        <v>337</v>
      </c>
      <c r="H83" s="8" t="s">
        <v>228</v>
      </c>
      <c r="I83" s="8" t="s">
        <v>219</v>
      </c>
      <c r="J83" s="9" t="s">
        <v>26</v>
      </c>
      <c r="K83" s="8" t="s">
        <v>49</v>
      </c>
    </row>
    <row r="84" ht="46" customHeight="1" spans="1:11">
      <c r="A84" s="10" t="s">
        <v>338</v>
      </c>
      <c r="B84" s="11" t="s">
        <v>215</v>
      </c>
      <c r="C84" s="12" t="s">
        <v>339</v>
      </c>
      <c r="D84" s="13" t="s">
        <v>20</v>
      </c>
      <c r="E84" s="13" t="s">
        <v>19</v>
      </c>
      <c r="F84" s="12" t="s">
        <v>45</v>
      </c>
      <c r="G84" s="12" t="s">
        <v>340</v>
      </c>
      <c r="H84" s="12" t="s">
        <v>232</v>
      </c>
      <c r="I84" s="12" t="s">
        <v>219</v>
      </c>
      <c r="J84" s="13" t="s">
        <v>26</v>
      </c>
      <c r="K84" s="12" t="s">
        <v>49</v>
      </c>
    </row>
    <row r="85" ht="46" customHeight="1" spans="1:11">
      <c r="A85" s="6" t="s">
        <v>341</v>
      </c>
      <c r="B85" s="7" t="s">
        <v>215</v>
      </c>
      <c r="C85" s="8" t="s">
        <v>342</v>
      </c>
      <c r="D85" s="9" t="s">
        <v>20</v>
      </c>
      <c r="E85" s="9" t="s">
        <v>19</v>
      </c>
      <c r="F85" s="8" t="s">
        <v>45</v>
      </c>
      <c r="G85" s="8" t="s">
        <v>343</v>
      </c>
      <c r="H85" s="8" t="s">
        <v>218</v>
      </c>
      <c r="I85" s="8" t="s">
        <v>219</v>
      </c>
      <c r="J85" s="9" t="s">
        <v>26</v>
      </c>
      <c r="K85" s="8" t="s">
        <v>49</v>
      </c>
    </row>
    <row r="86" ht="46" customHeight="1" spans="1:11">
      <c r="A86" s="10" t="s">
        <v>344</v>
      </c>
      <c r="B86" s="11" t="s">
        <v>215</v>
      </c>
      <c r="C86" s="12" t="s">
        <v>345</v>
      </c>
      <c r="D86" s="13" t="s">
        <v>20</v>
      </c>
      <c r="E86" s="13" t="s">
        <v>19</v>
      </c>
      <c r="F86" s="12" t="s">
        <v>45</v>
      </c>
      <c r="G86" s="12" t="s">
        <v>346</v>
      </c>
      <c r="H86" s="12" t="s">
        <v>224</v>
      </c>
      <c r="I86" s="12" t="s">
        <v>219</v>
      </c>
      <c r="J86" s="13" t="s">
        <v>26</v>
      </c>
      <c r="K86" s="12" t="s">
        <v>49</v>
      </c>
    </row>
    <row r="87" ht="46" customHeight="1" spans="1:11">
      <c r="A87" s="6" t="s">
        <v>347</v>
      </c>
      <c r="B87" s="7" t="s">
        <v>215</v>
      </c>
      <c r="C87" s="8" t="s">
        <v>348</v>
      </c>
      <c r="D87" s="9" t="s">
        <v>20</v>
      </c>
      <c r="E87" s="9" t="s">
        <v>19</v>
      </c>
      <c r="F87" s="8" t="s">
        <v>45</v>
      </c>
      <c r="G87" s="8" t="s">
        <v>349</v>
      </c>
      <c r="H87" s="8" t="s">
        <v>228</v>
      </c>
      <c r="I87" s="8" t="s">
        <v>219</v>
      </c>
      <c r="J87" s="9" t="s">
        <v>26</v>
      </c>
      <c r="K87" s="8" t="s">
        <v>49</v>
      </c>
    </row>
    <row r="88" ht="46" customHeight="1" spans="1:11">
      <c r="A88" s="10" t="s">
        <v>350</v>
      </c>
      <c r="B88" s="11" t="s">
        <v>215</v>
      </c>
      <c r="C88" s="12" t="s">
        <v>351</v>
      </c>
      <c r="D88" s="13" t="s">
        <v>20</v>
      </c>
      <c r="E88" s="13" t="s">
        <v>19</v>
      </c>
      <c r="F88" s="12" t="s">
        <v>45</v>
      </c>
      <c r="G88" s="12" t="s">
        <v>352</v>
      </c>
      <c r="H88" s="12" t="s">
        <v>232</v>
      </c>
      <c r="I88" s="12" t="s">
        <v>219</v>
      </c>
      <c r="J88" s="13" t="s">
        <v>27</v>
      </c>
      <c r="K88" s="12" t="s">
        <v>220</v>
      </c>
    </row>
    <row r="89" ht="46" customHeight="1" spans="1:11">
      <c r="A89" s="6" t="s">
        <v>353</v>
      </c>
      <c r="B89" s="7" t="s">
        <v>215</v>
      </c>
      <c r="C89" s="8" t="s">
        <v>354</v>
      </c>
      <c r="D89" s="9" t="s">
        <v>20</v>
      </c>
      <c r="E89" s="9" t="s">
        <v>19</v>
      </c>
      <c r="F89" s="8" t="s">
        <v>45</v>
      </c>
      <c r="G89" s="8" t="s">
        <v>355</v>
      </c>
      <c r="H89" s="8" t="s">
        <v>218</v>
      </c>
      <c r="I89" s="8" t="s">
        <v>219</v>
      </c>
      <c r="J89" s="9" t="s">
        <v>26</v>
      </c>
      <c r="K89" s="8" t="s">
        <v>49</v>
      </c>
    </row>
    <row r="90" ht="46" customHeight="1" spans="1:11">
      <c r="A90" s="10" t="s">
        <v>356</v>
      </c>
      <c r="B90" s="11" t="s">
        <v>215</v>
      </c>
      <c r="C90" s="12" t="s">
        <v>357</v>
      </c>
      <c r="D90" s="13" t="s">
        <v>20</v>
      </c>
      <c r="E90" s="13" t="s">
        <v>19</v>
      </c>
      <c r="F90" s="12" t="s">
        <v>45</v>
      </c>
      <c r="G90" s="12" t="s">
        <v>358</v>
      </c>
      <c r="H90" s="12" t="s">
        <v>224</v>
      </c>
      <c r="I90" s="12" t="s">
        <v>219</v>
      </c>
      <c r="J90" s="13" t="s">
        <v>26</v>
      </c>
      <c r="K90" s="12" t="s">
        <v>49</v>
      </c>
    </row>
    <row r="91" ht="46" customHeight="1" spans="1:11">
      <c r="A91" s="6" t="s">
        <v>359</v>
      </c>
      <c r="B91" s="7" t="s">
        <v>215</v>
      </c>
      <c r="C91" s="8" t="s">
        <v>360</v>
      </c>
      <c r="D91" s="9" t="s">
        <v>20</v>
      </c>
      <c r="E91" s="9" t="s">
        <v>19</v>
      </c>
      <c r="F91" s="8" t="s">
        <v>45</v>
      </c>
      <c r="G91" s="8" t="s">
        <v>361</v>
      </c>
      <c r="H91" s="8" t="s">
        <v>228</v>
      </c>
      <c r="I91" s="8" t="s">
        <v>219</v>
      </c>
      <c r="J91" s="9" t="s">
        <v>26</v>
      </c>
      <c r="K91" s="8" t="s">
        <v>49</v>
      </c>
    </row>
    <row r="92" ht="46" customHeight="1" spans="1:11">
      <c r="A92" s="10" t="s">
        <v>362</v>
      </c>
      <c r="B92" s="11" t="s">
        <v>215</v>
      </c>
      <c r="C92" s="12" t="s">
        <v>363</v>
      </c>
      <c r="D92" s="13" t="s">
        <v>20</v>
      </c>
      <c r="E92" s="13" t="s">
        <v>19</v>
      </c>
      <c r="F92" s="12" t="s">
        <v>45</v>
      </c>
      <c r="G92" s="12" t="s">
        <v>364</v>
      </c>
      <c r="H92" s="12" t="s">
        <v>232</v>
      </c>
      <c r="I92" s="12" t="s">
        <v>219</v>
      </c>
      <c r="J92" s="13" t="s">
        <v>27</v>
      </c>
      <c r="K92" s="12" t="s">
        <v>220</v>
      </c>
    </row>
    <row r="93" ht="46" customHeight="1" spans="1:11">
      <c r="A93" s="6" t="s">
        <v>365</v>
      </c>
      <c r="B93" s="7" t="s">
        <v>215</v>
      </c>
      <c r="C93" s="8" t="s">
        <v>366</v>
      </c>
      <c r="D93" s="9" t="s">
        <v>20</v>
      </c>
      <c r="E93" s="9" t="s">
        <v>19</v>
      </c>
      <c r="F93" s="8" t="s">
        <v>45</v>
      </c>
      <c r="G93" s="8" t="s">
        <v>367</v>
      </c>
      <c r="H93" s="8" t="s">
        <v>218</v>
      </c>
      <c r="I93" s="8" t="s">
        <v>219</v>
      </c>
      <c r="J93" s="9" t="s">
        <v>26</v>
      </c>
      <c r="K93" s="8" t="s">
        <v>49</v>
      </c>
    </row>
    <row r="94" ht="46" customHeight="1" spans="1:11">
      <c r="A94" s="10" t="s">
        <v>368</v>
      </c>
      <c r="B94" s="11" t="s">
        <v>215</v>
      </c>
      <c r="C94" s="12" t="s">
        <v>369</v>
      </c>
      <c r="D94" s="13" t="s">
        <v>20</v>
      </c>
      <c r="E94" s="13" t="s">
        <v>19</v>
      </c>
      <c r="F94" s="12" t="s">
        <v>45</v>
      </c>
      <c r="G94" s="12" t="s">
        <v>370</v>
      </c>
      <c r="H94" s="12" t="s">
        <v>224</v>
      </c>
      <c r="I94" s="12" t="s">
        <v>219</v>
      </c>
      <c r="J94" s="13" t="s">
        <v>26</v>
      </c>
      <c r="K94" s="12" t="s">
        <v>49</v>
      </c>
    </row>
    <row r="95" ht="46" customHeight="1" spans="1:11">
      <c r="A95" s="6" t="s">
        <v>371</v>
      </c>
      <c r="B95" s="7" t="s">
        <v>215</v>
      </c>
      <c r="C95" s="8" t="s">
        <v>372</v>
      </c>
      <c r="D95" s="9" t="s">
        <v>20</v>
      </c>
      <c r="E95" s="9" t="s">
        <v>19</v>
      </c>
      <c r="F95" s="8" t="s">
        <v>45</v>
      </c>
      <c r="G95" s="8" t="s">
        <v>373</v>
      </c>
      <c r="H95" s="8" t="s">
        <v>228</v>
      </c>
      <c r="I95" s="8" t="s">
        <v>219</v>
      </c>
      <c r="J95" s="9" t="s">
        <v>26</v>
      </c>
      <c r="K95" s="8" t="s">
        <v>49</v>
      </c>
    </row>
    <row r="96" ht="46" customHeight="1" spans="1:11">
      <c r="A96" s="10" t="s">
        <v>374</v>
      </c>
      <c r="B96" s="11" t="s">
        <v>215</v>
      </c>
      <c r="C96" s="12" t="s">
        <v>375</v>
      </c>
      <c r="D96" s="13" t="s">
        <v>20</v>
      </c>
      <c r="E96" s="13" t="s">
        <v>19</v>
      </c>
      <c r="F96" s="12" t="s">
        <v>45</v>
      </c>
      <c r="G96" s="12" t="s">
        <v>376</v>
      </c>
      <c r="H96" s="12" t="s">
        <v>232</v>
      </c>
      <c r="I96" s="12" t="s">
        <v>219</v>
      </c>
      <c r="J96" s="13" t="s">
        <v>26</v>
      </c>
      <c r="K96" s="12" t="s">
        <v>49</v>
      </c>
    </row>
    <row r="97" ht="46" customHeight="1" spans="1:11">
      <c r="A97" s="6" t="s">
        <v>377</v>
      </c>
      <c r="B97" s="7" t="s">
        <v>215</v>
      </c>
      <c r="C97" s="8" t="s">
        <v>378</v>
      </c>
      <c r="D97" s="9" t="s">
        <v>20</v>
      </c>
      <c r="E97" s="9" t="s">
        <v>19</v>
      </c>
      <c r="F97" s="8" t="s">
        <v>45</v>
      </c>
      <c r="G97" s="8" t="s">
        <v>379</v>
      </c>
      <c r="H97" s="8" t="s">
        <v>218</v>
      </c>
      <c r="I97" s="8" t="s">
        <v>219</v>
      </c>
      <c r="J97" s="9" t="s">
        <v>27</v>
      </c>
      <c r="K97" s="8" t="s">
        <v>380</v>
      </c>
    </row>
    <row r="98" ht="46" customHeight="1" spans="1:11">
      <c r="A98" s="10" t="s">
        <v>381</v>
      </c>
      <c r="B98" s="11" t="s">
        <v>215</v>
      </c>
      <c r="C98" s="12" t="s">
        <v>382</v>
      </c>
      <c r="D98" s="13" t="s">
        <v>20</v>
      </c>
      <c r="E98" s="13" t="s">
        <v>19</v>
      </c>
      <c r="F98" s="12" t="s">
        <v>45</v>
      </c>
      <c r="G98" s="12" t="s">
        <v>383</v>
      </c>
      <c r="H98" s="12" t="s">
        <v>224</v>
      </c>
      <c r="I98" s="12" t="s">
        <v>219</v>
      </c>
      <c r="J98" s="13" t="s">
        <v>26</v>
      </c>
      <c r="K98" s="12" t="s">
        <v>49</v>
      </c>
    </row>
    <row r="99" ht="46" customHeight="1" spans="1:11">
      <c r="A99" s="6" t="s">
        <v>384</v>
      </c>
      <c r="B99" s="7" t="s">
        <v>215</v>
      </c>
      <c r="C99" s="8" t="s">
        <v>385</v>
      </c>
      <c r="D99" s="9" t="s">
        <v>20</v>
      </c>
      <c r="E99" s="9" t="s">
        <v>19</v>
      </c>
      <c r="F99" s="8" t="s">
        <v>45</v>
      </c>
      <c r="G99" s="8" t="s">
        <v>386</v>
      </c>
      <c r="H99" s="8" t="s">
        <v>228</v>
      </c>
      <c r="I99" s="8" t="s">
        <v>219</v>
      </c>
      <c r="J99" s="9" t="s">
        <v>26</v>
      </c>
      <c r="K99" s="8" t="s">
        <v>49</v>
      </c>
    </row>
    <row r="100" ht="46" customHeight="1" spans="1:11">
      <c r="A100" s="10" t="s">
        <v>387</v>
      </c>
      <c r="B100" s="11" t="s">
        <v>215</v>
      </c>
      <c r="C100" s="12" t="s">
        <v>388</v>
      </c>
      <c r="D100" s="13" t="s">
        <v>20</v>
      </c>
      <c r="E100" s="13" t="s">
        <v>19</v>
      </c>
      <c r="F100" s="12" t="s">
        <v>45</v>
      </c>
      <c r="G100" s="12" t="s">
        <v>389</v>
      </c>
      <c r="H100" s="12" t="s">
        <v>232</v>
      </c>
      <c r="I100" s="12" t="s">
        <v>219</v>
      </c>
      <c r="J100" s="13" t="s">
        <v>26</v>
      </c>
      <c r="K100" s="12" t="s">
        <v>49</v>
      </c>
    </row>
    <row r="101" ht="46" customHeight="1" spans="1:11">
      <c r="A101" s="6" t="s">
        <v>390</v>
      </c>
      <c r="B101" s="7" t="s">
        <v>391</v>
      </c>
      <c r="C101" s="8" t="s">
        <v>392</v>
      </c>
      <c r="D101" s="9" t="s">
        <v>20</v>
      </c>
      <c r="E101" s="9" t="s">
        <v>22</v>
      </c>
      <c r="F101" s="8" t="s">
        <v>45</v>
      </c>
      <c r="G101" s="8" t="s">
        <v>393</v>
      </c>
      <c r="H101" s="8" t="s">
        <v>394</v>
      </c>
      <c r="I101" s="8" t="s">
        <v>395</v>
      </c>
      <c r="J101" s="9" t="s">
        <v>26</v>
      </c>
      <c r="K101" s="8" t="s">
        <v>49</v>
      </c>
    </row>
    <row r="102" ht="46" customHeight="1" spans="1:11">
      <c r="A102" s="10" t="s">
        <v>396</v>
      </c>
      <c r="B102" s="11" t="s">
        <v>391</v>
      </c>
      <c r="C102" s="12" t="s">
        <v>397</v>
      </c>
      <c r="D102" s="13" t="s">
        <v>20</v>
      </c>
      <c r="E102" s="13" t="s">
        <v>22</v>
      </c>
      <c r="F102" s="12" t="s">
        <v>45</v>
      </c>
      <c r="G102" s="12" t="s">
        <v>398</v>
      </c>
      <c r="H102" s="12" t="s">
        <v>394</v>
      </c>
      <c r="I102" s="12" t="s">
        <v>399</v>
      </c>
      <c r="J102" s="13" t="s">
        <v>26</v>
      </c>
      <c r="K102" s="12" t="s">
        <v>49</v>
      </c>
    </row>
    <row r="103" ht="46" customHeight="1" spans="1:11">
      <c r="A103" s="6" t="s">
        <v>400</v>
      </c>
      <c r="B103" s="7" t="s">
        <v>391</v>
      </c>
      <c r="C103" s="8" t="s">
        <v>401</v>
      </c>
      <c r="D103" s="9" t="s">
        <v>20</v>
      </c>
      <c r="E103" s="9" t="s">
        <v>22</v>
      </c>
      <c r="F103" s="8" t="s">
        <v>45</v>
      </c>
      <c r="G103" s="8" t="s">
        <v>402</v>
      </c>
      <c r="H103" s="8" t="s">
        <v>394</v>
      </c>
      <c r="I103" s="8" t="s">
        <v>403</v>
      </c>
      <c r="J103" s="9" t="s">
        <v>26</v>
      </c>
      <c r="K103" s="8" t="s">
        <v>49</v>
      </c>
    </row>
    <row r="104" ht="46" customHeight="1" spans="1:11">
      <c r="A104" s="10" t="s">
        <v>404</v>
      </c>
      <c r="B104" s="11" t="s">
        <v>391</v>
      </c>
      <c r="C104" s="12" t="s">
        <v>405</v>
      </c>
      <c r="D104" s="13" t="s">
        <v>20</v>
      </c>
      <c r="E104" s="13" t="s">
        <v>22</v>
      </c>
      <c r="F104" s="12" t="s">
        <v>45</v>
      </c>
      <c r="G104" s="12" t="s">
        <v>406</v>
      </c>
      <c r="H104" s="12" t="s">
        <v>394</v>
      </c>
      <c r="I104" s="12" t="s">
        <v>407</v>
      </c>
      <c r="J104" s="13" t="s">
        <v>26</v>
      </c>
      <c r="K104" s="12" t="s">
        <v>49</v>
      </c>
    </row>
    <row r="105" ht="46" customHeight="1" spans="1:11">
      <c r="A105" s="6" t="s">
        <v>408</v>
      </c>
      <c r="B105" s="7" t="s">
        <v>391</v>
      </c>
      <c r="C105" s="8" t="s">
        <v>409</v>
      </c>
      <c r="D105" s="9" t="s">
        <v>20</v>
      </c>
      <c r="E105" s="9" t="s">
        <v>22</v>
      </c>
      <c r="F105" s="8" t="s">
        <v>45</v>
      </c>
      <c r="G105" s="8" t="s">
        <v>410</v>
      </c>
      <c r="H105" s="8" t="s">
        <v>394</v>
      </c>
      <c r="I105" s="8" t="s">
        <v>411</v>
      </c>
      <c r="J105" s="9" t="s">
        <v>26</v>
      </c>
      <c r="K105" s="8" t="s">
        <v>49</v>
      </c>
    </row>
    <row r="106" ht="46" customHeight="1" spans="1:11">
      <c r="A106" s="10" t="s">
        <v>412</v>
      </c>
      <c r="B106" s="11" t="s">
        <v>391</v>
      </c>
      <c r="C106" s="12" t="s">
        <v>413</v>
      </c>
      <c r="D106" s="13" t="s">
        <v>20</v>
      </c>
      <c r="E106" s="13" t="s">
        <v>22</v>
      </c>
      <c r="F106" s="12" t="s">
        <v>45</v>
      </c>
      <c r="G106" s="12" t="s">
        <v>414</v>
      </c>
      <c r="H106" s="12" t="s">
        <v>394</v>
      </c>
      <c r="I106" s="12" t="s">
        <v>403</v>
      </c>
      <c r="J106" s="13" t="s">
        <v>26</v>
      </c>
      <c r="K106" s="12" t="s">
        <v>49</v>
      </c>
    </row>
    <row r="107" ht="46" customHeight="1" spans="1:11">
      <c r="A107" s="6" t="s">
        <v>415</v>
      </c>
      <c r="B107" s="7" t="s">
        <v>391</v>
      </c>
      <c r="C107" s="8" t="s">
        <v>416</v>
      </c>
      <c r="D107" s="9" t="s">
        <v>20</v>
      </c>
      <c r="E107" s="9" t="s">
        <v>22</v>
      </c>
      <c r="F107" s="8" t="s">
        <v>45</v>
      </c>
      <c r="G107" s="8" t="s">
        <v>417</v>
      </c>
      <c r="H107" s="8" t="s">
        <v>394</v>
      </c>
      <c r="I107" s="8" t="s">
        <v>418</v>
      </c>
      <c r="J107" s="9" t="s">
        <v>26</v>
      </c>
      <c r="K107" s="8" t="s">
        <v>49</v>
      </c>
    </row>
    <row r="108" ht="46" customHeight="1" spans="1:11">
      <c r="A108" s="10" t="s">
        <v>419</v>
      </c>
      <c r="B108" s="11" t="s">
        <v>391</v>
      </c>
      <c r="C108" s="12" t="s">
        <v>420</v>
      </c>
      <c r="D108" s="13" t="s">
        <v>20</v>
      </c>
      <c r="E108" s="13" t="s">
        <v>22</v>
      </c>
      <c r="F108" s="12" t="s">
        <v>45</v>
      </c>
      <c r="G108" s="12" t="s">
        <v>421</v>
      </c>
      <c r="H108" s="12" t="s">
        <v>394</v>
      </c>
      <c r="I108" s="12" t="s">
        <v>422</v>
      </c>
      <c r="J108" s="13" t="s">
        <v>26</v>
      </c>
      <c r="K108" s="12" t="s">
        <v>49</v>
      </c>
    </row>
    <row r="109" ht="46" customHeight="1" spans="1:11">
      <c r="A109" s="6" t="s">
        <v>423</v>
      </c>
      <c r="B109" s="7" t="s">
        <v>391</v>
      </c>
      <c r="C109" s="8" t="s">
        <v>424</v>
      </c>
      <c r="D109" s="9" t="s">
        <v>20</v>
      </c>
      <c r="E109" s="9" t="s">
        <v>22</v>
      </c>
      <c r="F109" s="8" t="s">
        <v>45</v>
      </c>
      <c r="G109" s="8" t="s">
        <v>425</v>
      </c>
      <c r="H109" s="8" t="s">
        <v>394</v>
      </c>
      <c r="I109" s="8" t="s">
        <v>403</v>
      </c>
      <c r="J109" s="9" t="s">
        <v>26</v>
      </c>
      <c r="K109" s="8" t="s">
        <v>49</v>
      </c>
    </row>
    <row r="110" ht="46" customHeight="1" spans="1:11">
      <c r="A110" s="10" t="s">
        <v>426</v>
      </c>
      <c r="B110" s="11" t="s">
        <v>391</v>
      </c>
      <c r="C110" s="12" t="s">
        <v>427</v>
      </c>
      <c r="D110" s="13" t="s">
        <v>20</v>
      </c>
      <c r="E110" s="13" t="s">
        <v>22</v>
      </c>
      <c r="F110" s="12" t="s">
        <v>45</v>
      </c>
      <c r="G110" s="12" t="s">
        <v>428</v>
      </c>
      <c r="H110" s="12" t="s">
        <v>394</v>
      </c>
      <c r="I110" s="12" t="s">
        <v>429</v>
      </c>
      <c r="J110" s="13" t="s">
        <v>26</v>
      </c>
      <c r="K110" s="12" t="s">
        <v>49</v>
      </c>
    </row>
    <row r="111" ht="46" customHeight="1" spans="1:11">
      <c r="A111" s="6" t="s">
        <v>430</v>
      </c>
      <c r="B111" s="7" t="s">
        <v>391</v>
      </c>
      <c r="C111" s="8" t="s">
        <v>431</v>
      </c>
      <c r="D111" s="9" t="s">
        <v>20</v>
      </c>
      <c r="E111" s="9" t="s">
        <v>22</v>
      </c>
      <c r="F111" s="8" t="s">
        <v>45</v>
      </c>
      <c r="G111" s="8" t="s">
        <v>432</v>
      </c>
      <c r="H111" s="8" t="s">
        <v>394</v>
      </c>
      <c r="I111" s="8" t="s">
        <v>433</v>
      </c>
      <c r="J111" s="9" t="s">
        <v>26</v>
      </c>
      <c r="K111" s="8" t="s">
        <v>49</v>
      </c>
    </row>
    <row r="112" ht="46" customHeight="1" spans="1:11">
      <c r="A112" s="10" t="s">
        <v>434</v>
      </c>
      <c r="B112" s="11" t="s">
        <v>391</v>
      </c>
      <c r="C112" s="12" t="s">
        <v>435</v>
      </c>
      <c r="D112" s="13" t="s">
        <v>20</v>
      </c>
      <c r="E112" s="13" t="s">
        <v>22</v>
      </c>
      <c r="F112" s="12" t="s">
        <v>45</v>
      </c>
      <c r="G112" s="12" t="s">
        <v>436</v>
      </c>
      <c r="H112" s="12" t="s">
        <v>394</v>
      </c>
      <c r="I112" s="12" t="s">
        <v>403</v>
      </c>
      <c r="J112" s="13" t="s">
        <v>26</v>
      </c>
      <c r="K112" s="12" t="s">
        <v>49</v>
      </c>
    </row>
    <row r="113" ht="46" customHeight="1" spans="1:11">
      <c r="A113" s="6" t="s">
        <v>437</v>
      </c>
      <c r="B113" s="7" t="s">
        <v>391</v>
      </c>
      <c r="C113" s="8" t="s">
        <v>438</v>
      </c>
      <c r="D113" s="9" t="s">
        <v>20</v>
      </c>
      <c r="E113" s="9" t="s">
        <v>22</v>
      </c>
      <c r="F113" s="8" t="s">
        <v>45</v>
      </c>
      <c r="G113" s="8" t="s">
        <v>439</v>
      </c>
      <c r="H113" s="8" t="s">
        <v>394</v>
      </c>
      <c r="I113" s="8" t="s">
        <v>440</v>
      </c>
      <c r="J113" s="9" t="s">
        <v>26</v>
      </c>
      <c r="K113" s="8" t="s">
        <v>49</v>
      </c>
    </row>
    <row r="114" ht="46" customHeight="1" spans="1:11">
      <c r="A114" s="10" t="s">
        <v>441</v>
      </c>
      <c r="B114" s="11" t="s">
        <v>391</v>
      </c>
      <c r="C114" s="12" t="s">
        <v>442</v>
      </c>
      <c r="D114" s="13" t="s">
        <v>20</v>
      </c>
      <c r="E114" s="13" t="s">
        <v>22</v>
      </c>
      <c r="F114" s="12" t="s">
        <v>45</v>
      </c>
      <c r="G114" s="12" t="s">
        <v>443</v>
      </c>
      <c r="H114" s="12" t="s">
        <v>394</v>
      </c>
      <c r="I114" s="12" t="s">
        <v>444</v>
      </c>
      <c r="J114" s="13" t="s">
        <v>26</v>
      </c>
      <c r="K114" s="12" t="s">
        <v>49</v>
      </c>
    </row>
    <row r="115" ht="46" customHeight="1" spans="1:11">
      <c r="A115" s="6" t="s">
        <v>445</v>
      </c>
      <c r="B115" s="7" t="s">
        <v>391</v>
      </c>
      <c r="C115" s="8" t="s">
        <v>446</v>
      </c>
      <c r="D115" s="9" t="s">
        <v>20</v>
      </c>
      <c r="E115" s="9" t="s">
        <v>22</v>
      </c>
      <c r="F115" s="8" t="s">
        <v>45</v>
      </c>
      <c r="G115" s="8" t="s">
        <v>447</v>
      </c>
      <c r="H115" s="8" t="s">
        <v>394</v>
      </c>
      <c r="I115" s="8" t="s">
        <v>403</v>
      </c>
      <c r="J115" s="9" t="s">
        <v>26</v>
      </c>
      <c r="K115" s="8" t="s">
        <v>49</v>
      </c>
    </row>
    <row r="116" ht="46" customHeight="1" spans="1:11">
      <c r="A116" s="10" t="s">
        <v>448</v>
      </c>
      <c r="B116" s="11" t="s">
        <v>391</v>
      </c>
      <c r="C116" s="12" t="s">
        <v>449</v>
      </c>
      <c r="D116" s="13" t="s">
        <v>20</v>
      </c>
      <c r="E116" s="13" t="s">
        <v>22</v>
      </c>
      <c r="F116" s="12" t="s">
        <v>45</v>
      </c>
      <c r="G116" s="12" t="s">
        <v>450</v>
      </c>
      <c r="H116" s="12" t="s">
        <v>394</v>
      </c>
      <c r="I116" s="12" t="s">
        <v>451</v>
      </c>
      <c r="J116" s="13" t="s">
        <v>26</v>
      </c>
      <c r="K116" s="12" t="s">
        <v>49</v>
      </c>
    </row>
    <row r="117" ht="46" customHeight="1" spans="1:11">
      <c r="A117" s="6" t="s">
        <v>452</v>
      </c>
      <c r="B117" s="7" t="s">
        <v>391</v>
      </c>
      <c r="C117" s="8" t="s">
        <v>453</v>
      </c>
      <c r="D117" s="9" t="s">
        <v>20</v>
      </c>
      <c r="E117" s="9" t="s">
        <v>22</v>
      </c>
      <c r="F117" s="8" t="s">
        <v>45</v>
      </c>
      <c r="G117" s="8" t="s">
        <v>454</v>
      </c>
      <c r="H117" s="8" t="s">
        <v>394</v>
      </c>
      <c r="I117" s="8" t="s">
        <v>455</v>
      </c>
      <c r="J117" s="9" t="s">
        <v>26</v>
      </c>
      <c r="K117" s="8" t="s">
        <v>49</v>
      </c>
    </row>
    <row r="118" ht="46" customHeight="1" spans="1:11">
      <c r="A118" s="10" t="s">
        <v>456</v>
      </c>
      <c r="B118" s="11" t="s">
        <v>391</v>
      </c>
      <c r="C118" s="12" t="s">
        <v>457</v>
      </c>
      <c r="D118" s="13" t="s">
        <v>20</v>
      </c>
      <c r="E118" s="13" t="s">
        <v>22</v>
      </c>
      <c r="F118" s="12" t="s">
        <v>45</v>
      </c>
      <c r="G118" s="12" t="s">
        <v>458</v>
      </c>
      <c r="H118" s="12" t="s">
        <v>394</v>
      </c>
      <c r="I118" s="12" t="s">
        <v>403</v>
      </c>
      <c r="J118" s="13" t="s">
        <v>26</v>
      </c>
      <c r="K118" s="12" t="s">
        <v>49</v>
      </c>
    </row>
    <row r="119" ht="46" customHeight="1" spans="1:11">
      <c r="A119" s="6" t="s">
        <v>459</v>
      </c>
      <c r="B119" s="7" t="s">
        <v>391</v>
      </c>
      <c r="C119" s="8" t="s">
        <v>460</v>
      </c>
      <c r="D119" s="9" t="s">
        <v>20</v>
      </c>
      <c r="E119" s="9" t="s">
        <v>22</v>
      </c>
      <c r="F119" s="8" t="s">
        <v>45</v>
      </c>
      <c r="G119" s="8" t="s">
        <v>461</v>
      </c>
      <c r="H119" s="8" t="s">
        <v>462</v>
      </c>
      <c r="I119" s="8" t="s">
        <v>463</v>
      </c>
      <c r="J119" s="9" t="s">
        <v>27</v>
      </c>
      <c r="K119" s="8" t="s">
        <v>464</v>
      </c>
    </row>
    <row r="120" ht="46" customHeight="1" spans="1:11">
      <c r="A120" s="10" t="s">
        <v>465</v>
      </c>
      <c r="B120" s="11" t="s">
        <v>391</v>
      </c>
      <c r="C120" s="12" t="s">
        <v>466</v>
      </c>
      <c r="D120" s="13" t="s">
        <v>20</v>
      </c>
      <c r="E120" s="13" t="s">
        <v>22</v>
      </c>
      <c r="F120" s="12" t="s">
        <v>45</v>
      </c>
      <c r="G120" s="12" t="s">
        <v>467</v>
      </c>
      <c r="H120" s="12" t="s">
        <v>462</v>
      </c>
      <c r="I120" s="12" t="s">
        <v>468</v>
      </c>
      <c r="J120" s="13" t="s">
        <v>27</v>
      </c>
      <c r="K120" s="12" t="s">
        <v>464</v>
      </c>
    </row>
    <row r="121" ht="46" customHeight="1" spans="1:11">
      <c r="A121" s="6" t="s">
        <v>469</v>
      </c>
      <c r="B121" s="7" t="s">
        <v>391</v>
      </c>
      <c r="C121" s="8" t="s">
        <v>470</v>
      </c>
      <c r="D121" s="9" t="s">
        <v>20</v>
      </c>
      <c r="E121" s="9" t="s">
        <v>22</v>
      </c>
      <c r="F121" s="8" t="s">
        <v>45</v>
      </c>
      <c r="G121" s="8" t="s">
        <v>471</v>
      </c>
      <c r="H121" s="8" t="s">
        <v>462</v>
      </c>
      <c r="I121" s="8" t="s">
        <v>472</v>
      </c>
      <c r="J121" s="9" t="s">
        <v>27</v>
      </c>
      <c r="K121" s="8" t="s">
        <v>464</v>
      </c>
    </row>
    <row r="122" ht="46" customHeight="1" spans="1:11">
      <c r="A122" s="10" t="s">
        <v>473</v>
      </c>
      <c r="B122" s="11" t="s">
        <v>391</v>
      </c>
      <c r="C122" s="12" t="s">
        <v>474</v>
      </c>
      <c r="D122" s="13" t="s">
        <v>20</v>
      </c>
      <c r="E122" s="13" t="s">
        <v>22</v>
      </c>
      <c r="F122" s="12" t="s">
        <v>45</v>
      </c>
      <c r="G122" s="12" t="s">
        <v>475</v>
      </c>
      <c r="H122" s="12" t="s">
        <v>462</v>
      </c>
      <c r="I122" s="12" t="s">
        <v>476</v>
      </c>
      <c r="J122" s="13" t="s">
        <v>26</v>
      </c>
      <c r="K122" s="12" t="s">
        <v>49</v>
      </c>
    </row>
    <row r="123" ht="46" customHeight="1" spans="1:11">
      <c r="A123" s="6" t="s">
        <v>477</v>
      </c>
      <c r="B123" s="7" t="s">
        <v>391</v>
      </c>
      <c r="C123" s="8" t="s">
        <v>478</v>
      </c>
      <c r="D123" s="9" t="s">
        <v>20</v>
      </c>
      <c r="E123" s="9" t="s">
        <v>22</v>
      </c>
      <c r="F123" s="8" t="s">
        <v>45</v>
      </c>
      <c r="G123" s="8" t="s">
        <v>479</v>
      </c>
      <c r="H123" s="8" t="s">
        <v>462</v>
      </c>
      <c r="I123" s="8" t="s">
        <v>480</v>
      </c>
      <c r="J123" s="9" t="s">
        <v>27</v>
      </c>
      <c r="K123" s="8" t="s">
        <v>464</v>
      </c>
    </row>
    <row r="124" ht="46" customHeight="1" spans="1:11">
      <c r="A124" s="10" t="s">
        <v>481</v>
      </c>
      <c r="B124" s="11" t="s">
        <v>391</v>
      </c>
      <c r="C124" s="12" t="s">
        <v>482</v>
      </c>
      <c r="D124" s="13" t="s">
        <v>20</v>
      </c>
      <c r="E124" s="13" t="s">
        <v>22</v>
      </c>
      <c r="F124" s="12" t="s">
        <v>45</v>
      </c>
      <c r="G124" s="12" t="s">
        <v>483</v>
      </c>
      <c r="H124" s="12" t="s">
        <v>462</v>
      </c>
      <c r="I124" s="12" t="s">
        <v>484</v>
      </c>
      <c r="J124" s="13" t="s">
        <v>26</v>
      </c>
      <c r="K124" s="12" t="s">
        <v>49</v>
      </c>
    </row>
    <row r="125" ht="46" customHeight="1" spans="1:11">
      <c r="A125" s="6" t="s">
        <v>485</v>
      </c>
      <c r="B125" s="7" t="s">
        <v>391</v>
      </c>
      <c r="C125" s="8" t="s">
        <v>486</v>
      </c>
      <c r="D125" s="9" t="s">
        <v>20</v>
      </c>
      <c r="E125" s="9" t="s">
        <v>22</v>
      </c>
      <c r="F125" s="8" t="s">
        <v>45</v>
      </c>
      <c r="G125" s="8" t="s">
        <v>487</v>
      </c>
      <c r="H125" s="8" t="s">
        <v>394</v>
      </c>
      <c r="I125" s="8" t="s">
        <v>488</v>
      </c>
      <c r="J125" s="9" t="s">
        <v>26</v>
      </c>
      <c r="K125" s="8" t="s">
        <v>49</v>
      </c>
    </row>
    <row r="126" ht="46" customHeight="1" spans="1:11">
      <c r="A126" s="10" t="s">
        <v>489</v>
      </c>
      <c r="B126" s="11" t="s">
        <v>391</v>
      </c>
      <c r="C126" s="12" t="s">
        <v>490</v>
      </c>
      <c r="D126" s="13" t="s">
        <v>20</v>
      </c>
      <c r="E126" s="13" t="s">
        <v>22</v>
      </c>
      <c r="F126" s="12" t="s">
        <v>45</v>
      </c>
      <c r="G126" s="12" t="s">
        <v>491</v>
      </c>
      <c r="H126" s="12" t="s">
        <v>394</v>
      </c>
      <c r="I126" s="12" t="s">
        <v>492</v>
      </c>
      <c r="J126" s="13" t="s">
        <v>26</v>
      </c>
      <c r="K126" s="12" t="s">
        <v>49</v>
      </c>
    </row>
    <row r="127" ht="46" customHeight="1" spans="1:11">
      <c r="A127" s="6" t="s">
        <v>493</v>
      </c>
      <c r="B127" s="7" t="s">
        <v>391</v>
      </c>
      <c r="C127" s="8" t="s">
        <v>494</v>
      </c>
      <c r="D127" s="9" t="s">
        <v>20</v>
      </c>
      <c r="E127" s="9" t="s">
        <v>22</v>
      </c>
      <c r="F127" s="8" t="s">
        <v>45</v>
      </c>
      <c r="G127" s="8" t="s">
        <v>495</v>
      </c>
      <c r="H127" s="8" t="s">
        <v>394</v>
      </c>
      <c r="I127" s="8" t="s">
        <v>496</v>
      </c>
      <c r="J127" s="9" t="s">
        <v>26</v>
      </c>
      <c r="K127" s="8" t="s">
        <v>49</v>
      </c>
    </row>
    <row r="128" ht="46" customHeight="1" spans="1:11">
      <c r="A128" s="10" t="s">
        <v>497</v>
      </c>
      <c r="B128" s="11" t="s">
        <v>391</v>
      </c>
      <c r="C128" s="12" t="s">
        <v>498</v>
      </c>
      <c r="D128" s="13" t="s">
        <v>20</v>
      </c>
      <c r="E128" s="13" t="s">
        <v>22</v>
      </c>
      <c r="F128" s="12" t="s">
        <v>45</v>
      </c>
      <c r="G128" s="12" t="s">
        <v>499</v>
      </c>
      <c r="H128" s="12" t="s">
        <v>394</v>
      </c>
      <c r="I128" s="12" t="s">
        <v>500</v>
      </c>
      <c r="J128" s="13" t="s">
        <v>26</v>
      </c>
      <c r="K128" s="12" t="s">
        <v>49</v>
      </c>
    </row>
    <row r="129" ht="46" customHeight="1" spans="1:11">
      <c r="A129" s="6" t="s">
        <v>501</v>
      </c>
      <c r="B129" s="7" t="s">
        <v>391</v>
      </c>
      <c r="C129" s="8" t="s">
        <v>502</v>
      </c>
      <c r="D129" s="9" t="s">
        <v>20</v>
      </c>
      <c r="E129" s="9" t="s">
        <v>22</v>
      </c>
      <c r="F129" s="8" t="s">
        <v>45</v>
      </c>
      <c r="G129" s="8" t="s">
        <v>503</v>
      </c>
      <c r="H129" s="8" t="s">
        <v>394</v>
      </c>
      <c r="I129" s="8" t="s">
        <v>504</v>
      </c>
      <c r="J129" s="9" t="s">
        <v>27</v>
      </c>
      <c r="K129" s="8" t="s">
        <v>505</v>
      </c>
    </row>
    <row r="130" ht="46" customHeight="1" spans="1:11">
      <c r="A130" s="10" t="s">
        <v>506</v>
      </c>
      <c r="B130" s="11" t="s">
        <v>391</v>
      </c>
      <c r="C130" s="12" t="s">
        <v>507</v>
      </c>
      <c r="D130" s="13" t="s">
        <v>20</v>
      </c>
      <c r="E130" s="13" t="s">
        <v>22</v>
      </c>
      <c r="F130" s="12" t="s">
        <v>45</v>
      </c>
      <c r="G130" s="12" t="s">
        <v>508</v>
      </c>
      <c r="H130" s="12" t="s">
        <v>394</v>
      </c>
      <c r="I130" s="12" t="s">
        <v>509</v>
      </c>
      <c r="J130" s="13" t="s">
        <v>27</v>
      </c>
      <c r="K130" s="12" t="s">
        <v>505</v>
      </c>
    </row>
    <row r="131" ht="46" customHeight="1" spans="1:11">
      <c r="A131" s="6" t="s">
        <v>510</v>
      </c>
      <c r="B131" s="7" t="s">
        <v>511</v>
      </c>
      <c r="C131" s="8" t="s">
        <v>512</v>
      </c>
      <c r="D131" s="9" t="s">
        <v>15</v>
      </c>
      <c r="E131" s="9" t="s">
        <v>17</v>
      </c>
      <c r="F131" s="8" t="s">
        <v>45</v>
      </c>
      <c r="G131" s="8" t="s">
        <v>513</v>
      </c>
      <c r="H131" s="8" t="s">
        <v>394</v>
      </c>
      <c r="I131" s="8" t="s">
        <v>514</v>
      </c>
      <c r="J131" s="9" t="s">
        <v>26</v>
      </c>
      <c r="K131" s="8" t="s">
        <v>49</v>
      </c>
    </row>
    <row r="132" ht="46" customHeight="1" spans="1:11">
      <c r="A132" s="10" t="s">
        <v>515</v>
      </c>
      <c r="B132" s="11" t="s">
        <v>511</v>
      </c>
      <c r="C132" s="12" t="s">
        <v>516</v>
      </c>
      <c r="D132" s="13" t="s">
        <v>15</v>
      </c>
      <c r="E132" s="13" t="s">
        <v>17</v>
      </c>
      <c r="F132" s="12" t="s">
        <v>45</v>
      </c>
      <c r="G132" s="12" t="s">
        <v>517</v>
      </c>
      <c r="H132" s="12" t="s">
        <v>394</v>
      </c>
      <c r="I132" s="12" t="s">
        <v>518</v>
      </c>
      <c r="J132" s="13" t="s">
        <v>26</v>
      </c>
      <c r="K132" s="12" t="s">
        <v>49</v>
      </c>
    </row>
    <row r="133" ht="46" customHeight="1" spans="1:11">
      <c r="A133" s="6" t="s">
        <v>519</v>
      </c>
      <c r="B133" s="7" t="s">
        <v>511</v>
      </c>
      <c r="C133" s="8" t="s">
        <v>520</v>
      </c>
      <c r="D133" s="9" t="s">
        <v>15</v>
      </c>
      <c r="E133" s="9" t="s">
        <v>17</v>
      </c>
      <c r="F133" s="8" t="s">
        <v>45</v>
      </c>
      <c r="G133" s="8" t="s">
        <v>521</v>
      </c>
      <c r="H133" s="8" t="s">
        <v>394</v>
      </c>
      <c r="I133" s="8" t="s">
        <v>522</v>
      </c>
      <c r="J133" s="9" t="s">
        <v>28</v>
      </c>
      <c r="K133" s="8" t="s">
        <v>523</v>
      </c>
    </row>
    <row r="134" ht="46" customHeight="1" spans="1:11">
      <c r="A134" s="10" t="s">
        <v>524</v>
      </c>
      <c r="B134" s="11" t="s">
        <v>511</v>
      </c>
      <c r="C134" s="12" t="s">
        <v>525</v>
      </c>
      <c r="D134" s="13" t="s">
        <v>15</v>
      </c>
      <c r="E134" s="13" t="s">
        <v>17</v>
      </c>
      <c r="F134" s="12" t="s">
        <v>45</v>
      </c>
      <c r="G134" s="12" t="s">
        <v>526</v>
      </c>
      <c r="H134" s="12" t="s">
        <v>394</v>
      </c>
      <c r="I134" s="12" t="s">
        <v>527</v>
      </c>
      <c r="J134" s="13" t="s">
        <v>27</v>
      </c>
      <c r="K134" s="12" t="s">
        <v>505</v>
      </c>
    </row>
    <row r="135" ht="46" customHeight="1" spans="1:11">
      <c r="A135" s="6" t="s">
        <v>528</v>
      </c>
      <c r="B135" s="7" t="s">
        <v>511</v>
      </c>
      <c r="C135" s="8" t="s">
        <v>529</v>
      </c>
      <c r="D135" s="9" t="s">
        <v>15</v>
      </c>
      <c r="E135" s="9" t="s">
        <v>17</v>
      </c>
      <c r="F135" s="8" t="s">
        <v>45</v>
      </c>
      <c r="G135" s="8" t="s">
        <v>530</v>
      </c>
      <c r="H135" s="8" t="s">
        <v>394</v>
      </c>
      <c r="I135" s="8" t="s">
        <v>531</v>
      </c>
      <c r="J135" s="9" t="s">
        <v>27</v>
      </c>
      <c r="K135" s="8" t="s">
        <v>464</v>
      </c>
    </row>
    <row r="136" ht="46" customHeight="1" spans="1:11">
      <c r="A136" s="10" t="s">
        <v>532</v>
      </c>
      <c r="B136" s="11" t="s">
        <v>511</v>
      </c>
      <c r="C136" s="12" t="s">
        <v>533</v>
      </c>
      <c r="D136" s="13" t="s">
        <v>15</v>
      </c>
      <c r="E136" s="13" t="s">
        <v>17</v>
      </c>
      <c r="F136" s="12" t="s">
        <v>45</v>
      </c>
      <c r="G136" s="12" t="s">
        <v>534</v>
      </c>
      <c r="H136" s="12" t="s">
        <v>394</v>
      </c>
      <c r="I136" s="12" t="s">
        <v>535</v>
      </c>
      <c r="J136" s="13" t="s">
        <v>26</v>
      </c>
      <c r="K136" s="12" t="s">
        <v>49</v>
      </c>
    </row>
    <row r="137" ht="46" customHeight="1" spans="1:11">
      <c r="A137" s="6" t="s">
        <v>536</v>
      </c>
      <c r="B137" s="7" t="s">
        <v>511</v>
      </c>
      <c r="C137" s="8" t="s">
        <v>537</v>
      </c>
      <c r="D137" s="9" t="s">
        <v>15</v>
      </c>
      <c r="E137" s="9" t="s">
        <v>17</v>
      </c>
      <c r="F137" s="8" t="s">
        <v>45</v>
      </c>
      <c r="G137" s="8" t="s">
        <v>538</v>
      </c>
      <c r="H137" s="8" t="s">
        <v>394</v>
      </c>
      <c r="I137" s="8" t="s">
        <v>539</v>
      </c>
      <c r="J137" s="9" t="s">
        <v>26</v>
      </c>
      <c r="K137" s="8" t="s">
        <v>49</v>
      </c>
    </row>
    <row r="138" ht="46" customHeight="1" spans="1:11">
      <c r="A138" s="10" t="s">
        <v>540</v>
      </c>
      <c r="B138" s="11" t="s">
        <v>511</v>
      </c>
      <c r="C138" s="12" t="s">
        <v>541</v>
      </c>
      <c r="D138" s="13" t="s">
        <v>15</v>
      </c>
      <c r="E138" s="13" t="s">
        <v>17</v>
      </c>
      <c r="F138" s="12" t="s">
        <v>45</v>
      </c>
      <c r="G138" s="12" t="s">
        <v>542</v>
      </c>
      <c r="H138" s="12" t="s">
        <v>394</v>
      </c>
      <c r="I138" s="12" t="s">
        <v>543</v>
      </c>
      <c r="J138" s="13" t="s">
        <v>27</v>
      </c>
      <c r="K138" s="12" t="s">
        <v>544</v>
      </c>
    </row>
    <row r="139" ht="46" customHeight="1" spans="1:11">
      <c r="A139" s="6" t="s">
        <v>545</v>
      </c>
      <c r="B139" s="7" t="s">
        <v>511</v>
      </c>
      <c r="C139" s="8" t="s">
        <v>546</v>
      </c>
      <c r="D139" s="9" t="s">
        <v>15</v>
      </c>
      <c r="E139" s="9" t="s">
        <v>17</v>
      </c>
      <c r="F139" s="8" t="s">
        <v>45</v>
      </c>
      <c r="G139" s="8" t="s">
        <v>547</v>
      </c>
      <c r="H139" s="8" t="s">
        <v>394</v>
      </c>
      <c r="I139" s="8" t="s">
        <v>548</v>
      </c>
      <c r="J139" s="9" t="s">
        <v>27</v>
      </c>
      <c r="K139" s="8" t="s">
        <v>544</v>
      </c>
    </row>
    <row r="140" ht="46" customHeight="1" spans="1:11">
      <c r="A140" s="10" t="s">
        <v>549</v>
      </c>
      <c r="B140" s="11" t="s">
        <v>511</v>
      </c>
      <c r="C140" s="12" t="s">
        <v>550</v>
      </c>
      <c r="D140" s="13" t="s">
        <v>15</v>
      </c>
      <c r="E140" s="13" t="s">
        <v>17</v>
      </c>
      <c r="F140" s="12" t="s">
        <v>45</v>
      </c>
      <c r="G140" s="12" t="s">
        <v>551</v>
      </c>
      <c r="H140" s="12" t="s">
        <v>394</v>
      </c>
      <c r="I140" s="12" t="s">
        <v>552</v>
      </c>
      <c r="J140" s="13" t="s">
        <v>26</v>
      </c>
      <c r="K140" s="12" t="s">
        <v>49</v>
      </c>
    </row>
    <row r="141" ht="46" customHeight="1" spans="1:11">
      <c r="A141" s="6" t="s">
        <v>553</v>
      </c>
      <c r="B141" s="7" t="s">
        <v>511</v>
      </c>
      <c r="C141" s="8" t="s">
        <v>554</v>
      </c>
      <c r="D141" s="9" t="s">
        <v>15</v>
      </c>
      <c r="E141" s="9" t="s">
        <v>17</v>
      </c>
      <c r="F141" s="8" t="s">
        <v>45</v>
      </c>
      <c r="G141" s="8" t="s">
        <v>555</v>
      </c>
      <c r="H141" s="8" t="s">
        <v>394</v>
      </c>
      <c r="I141" s="8" t="s">
        <v>556</v>
      </c>
      <c r="J141" s="9" t="s">
        <v>26</v>
      </c>
      <c r="K141" s="8" t="s">
        <v>49</v>
      </c>
    </row>
    <row r="142" ht="46" customHeight="1" spans="1:11">
      <c r="A142" s="10" t="s">
        <v>557</v>
      </c>
      <c r="B142" s="11" t="s">
        <v>511</v>
      </c>
      <c r="C142" s="12" t="s">
        <v>558</v>
      </c>
      <c r="D142" s="13" t="s">
        <v>15</v>
      </c>
      <c r="E142" s="13" t="s">
        <v>17</v>
      </c>
      <c r="F142" s="12" t="s">
        <v>45</v>
      </c>
      <c r="G142" s="12" t="s">
        <v>559</v>
      </c>
      <c r="H142" s="12" t="s">
        <v>394</v>
      </c>
      <c r="I142" s="12" t="s">
        <v>560</v>
      </c>
      <c r="J142" s="13" t="s">
        <v>26</v>
      </c>
      <c r="K142" s="12" t="s">
        <v>49</v>
      </c>
    </row>
    <row r="143" ht="46" customHeight="1" spans="1:11">
      <c r="A143" s="6" t="s">
        <v>561</v>
      </c>
      <c r="B143" s="7" t="s">
        <v>511</v>
      </c>
      <c r="C143" s="8" t="s">
        <v>562</v>
      </c>
      <c r="D143" s="9" t="s">
        <v>15</v>
      </c>
      <c r="E143" s="9" t="s">
        <v>17</v>
      </c>
      <c r="F143" s="8" t="s">
        <v>45</v>
      </c>
      <c r="G143" s="8" t="s">
        <v>563</v>
      </c>
      <c r="H143" s="8" t="s">
        <v>394</v>
      </c>
      <c r="I143" s="8" t="s">
        <v>564</v>
      </c>
      <c r="J143" s="9" t="s">
        <v>26</v>
      </c>
      <c r="K143" s="8" t="s">
        <v>49</v>
      </c>
    </row>
    <row r="144" ht="46" customHeight="1" spans="1:11">
      <c r="A144" s="10" t="s">
        <v>565</v>
      </c>
      <c r="B144" s="11" t="s">
        <v>511</v>
      </c>
      <c r="C144" s="12" t="s">
        <v>566</v>
      </c>
      <c r="D144" s="13" t="s">
        <v>15</v>
      </c>
      <c r="E144" s="13" t="s">
        <v>17</v>
      </c>
      <c r="F144" s="12" t="s">
        <v>45</v>
      </c>
      <c r="G144" s="12" t="s">
        <v>567</v>
      </c>
      <c r="H144" s="12" t="s">
        <v>394</v>
      </c>
      <c r="I144" s="12" t="s">
        <v>568</v>
      </c>
      <c r="J144" s="13" t="s">
        <v>26</v>
      </c>
      <c r="K144" s="12" t="s">
        <v>49</v>
      </c>
    </row>
    <row r="145" ht="46" customHeight="1" spans="1:11">
      <c r="A145" s="6" t="s">
        <v>569</v>
      </c>
      <c r="B145" s="7" t="s">
        <v>511</v>
      </c>
      <c r="C145" s="8" t="s">
        <v>570</v>
      </c>
      <c r="D145" s="9" t="s">
        <v>15</v>
      </c>
      <c r="E145" s="9" t="s">
        <v>17</v>
      </c>
      <c r="F145" s="8" t="s">
        <v>45</v>
      </c>
      <c r="G145" s="8" t="s">
        <v>571</v>
      </c>
      <c r="H145" s="8" t="s">
        <v>394</v>
      </c>
      <c r="I145" s="8" t="s">
        <v>572</v>
      </c>
      <c r="J145" s="9" t="s">
        <v>27</v>
      </c>
      <c r="K145" s="8" t="s">
        <v>505</v>
      </c>
    </row>
    <row r="146" ht="46" customHeight="1" spans="1:11">
      <c r="A146" s="10" t="s">
        <v>573</v>
      </c>
      <c r="B146" s="11" t="s">
        <v>511</v>
      </c>
      <c r="C146" s="12" t="s">
        <v>574</v>
      </c>
      <c r="D146" s="13" t="s">
        <v>15</v>
      </c>
      <c r="E146" s="13" t="s">
        <v>17</v>
      </c>
      <c r="F146" s="12" t="s">
        <v>45</v>
      </c>
      <c r="G146" s="12" t="s">
        <v>575</v>
      </c>
      <c r="H146" s="12" t="s">
        <v>394</v>
      </c>
      <c r="I146" s="12" t="s">
        <v>576</v>
      </c>
      <c r="J146" s="13" t="s">
        <v>26</v>
      </c>
      <c r="K146" s="12" t="s">
        <v>49</v>
      </c>
    </row>
    <row r="147" ht="46" customHeight="1" spans="1:11">
      <c r="A147" s="6" t="s">
        <v>577</v>
      </c>
      <c r="B147" s="7" t="s">
        <v>511</v>
      </c>
      <c r="C147" s="8" t="s">
        <v>578</v>
      </c>
      <c r="D147" s="9" t="s">
        <v>15</v>
      </c>
      <c r="E147" s="9" t="s">
        <v>17</v>
      </c>
      <c r="F147" s="8" t="s">
        <v>45</v>
      </c>
      <c r="G147" s="8" t="s">
        <v>579</v>
      </c>
      <c r="H147" s="8" t="s">
        <v>394</v>
      </c>
      <c r="I147" s="8" t="s">
        <v>580</v>
      </c>
      <c r="J147" s="9" t="s">
        <v>26</v>
      </c>
      <c r="K147" s="8" t="s">
        <v>49</v>
      </c>
    </row>
    <row r="148" ht="46" customHeight="1" spans="1:11">
      <c r="A148" s="10" t="s">
        <v>581</v>
      </c>
      <c r="B148" s="11" t="s">
        <v>511</v>
      </c>
      <c r="C148" s="12" t="s">
        <v>582</v>
      </c>
      <c r="D148" s="13" t="s">
        <v>15</v>
      </c>
      <c r="E148" s="13" t="s">
        <v>17</v>
      </c>
      <c r="F148" s="12" t="s">
        <v>45</v>
      </c>
      <c r="G148" s="12" t="s">
        <v>583</v>
      </c>
      <c r="H148" s="12" t="s">
        <v>394</v>
      </c>
      <c r="I148" s="12" t="s">
        <v>584</v>
      </c>
      <c r="J148" s="13" t="s">
        <v>26</v>
      </c>
      <c r="K148" s="12" t="s">
        <v>49</v>
      </c>
    </row>
    <row r="149" ht="46" customHeight="1"/>
    <row r="150" ht="46" customHeight="1"/>
    <row r="151" ht="46" customHeight="1"/>
    <row r="152" ht="46" customHeight="1"/>
    <row r="153" ht="46" customHeight="1"/>
    <row r="154" ht="46" customHeight="1"/>
    <row r="155" ht="46" customHeight="1"/>
    <row r="156" ht="46" customHeight="1"/>
    <row r="157" ht="46" customHeight="1"/>
    <row r="158" ht="46" customHeight="1"/>
    <row r="159" ht="46" customHeight="1"/>
    <row r="160" ht="46" customHeight="1"/>
    <row r="161" ht="46" customHeight="1"/>
    <row r="162" ht="46" customHeight="1"/>
    <row r="163" ht="46" customHeight="1"/>
    <row r="164" ht="46" customHeight="1"/>
    <row r="165" ht="46" customHeight="1"/>
    <row r="166" ht="46" customHeight="1"/>
    <row r="167" ht="46" customHeight="1"/>
    <row r="168" ht="46" customHeight="1"/>
    <row r="169" ht="46" customHeight="1"/>
    <row r="170" ht="46" customHeight="1"/>
    <row r="171" ht="46" customHeight="1"/>
    <row r="172" ht="46" customHeight="1"/>
    <row r="173" ht="46" customHeight="1"/>
    <row r="174" ht="46" customHeight="1"/>
    <row r="175" ht="46" customHeight="1"/>
    <row r="176" ht="46" customHeight="1"/>
    <row r="177" ht="46" customHeight="1"/>
    <row r="178" ht="46" customHeight="1"/>
    <row r="179" ht="46" customHeight="1"/>
    <row r="180" ht="46" customHeight="1"/>
    <row r="181" ht="46" customHeight="1"/>
    <row r="182" ht="46" customHeight="1"/>
    <row r="183" ht="46" customHeight="1"/>
    <row r="184" ht="46" customHeight="1"/>
    <row r="185" ht="46" customHeight="1"/>
    <row r="186" ht="46" customHeight="1"/>
    <row r="187" ht="46" customHeight="1"/>
    <row r="188" ht="46" customHeight="1"/>
    <row r="189" ht="46" customHeight="1"/>
    <row r="190" ht="46" customHeight="1"/>
    <row r="191" ht="46" customHeight="1"/>
    <row r="192" ht="46" customHeight="1"/>
    <row r="193" ht="46" customHeight="1"/>
    <row r="194" ht="46" customHeight="1"/>
    <row r="195" ht="46" customHeight="1"/>
    <row r="196" ht="46" customHeight="1"/>
    <row r="197" ht="46" customHeight="1"/>
    <row r="198" ht="46" customHeight="1"/>
    <row r="199" ht="46" customHeight="1"/>
    <row r="200" ht="46" customHeight="1"/>
    <row r="201" ht="46" customHeight="1"/>
    <row r="202" ht="46" customHeight="1"/>
    <row r="203" ht="46" customHeight="1"/>
    <row r="204" ht="46" customHeight="1"/>
    <row r="205" ht="46" customHeight="1"/>
    <row r="206" ht="46" customHeight="1"/>
    <row r="207" ht="46" customHeight="1"/>
    <row r="208" ht="46" customHeight="1"/>
    <row r="209" ht="46" customHeight="1"/>
    <row r="210" ht="46" customHeight="1"/>
    <row r="211" ht="46" customHeight="1"/>
    <row r="212" ht="46" customHeight="1"/>
    <row r="213" ht="46" customHeight="1"/>
    <row r="214" ht="46" customHeight="1"/>
    <row r="215" ht="46" customHeight="1"/>
    <row r="216" ht="46" customHeight="1"/>
    <row r="217" ht="46" customHeight="1"/>
    <row r="218" ht="46" customHeight="1"/>
    <row r="219" ht="46" customHeight="1"/>
    <row r="220" ht="46" customHeight="1"/>
    <row r="221" ht="46" customHeight="1"/>
    <row r="222" ht="46" customHeight="1"/>
    <row r="223" ht="46" customHeight="1"/>
    <row r="224" ht="46" customHeight="1"/>
    <row r="225" ht="46" customHeight="1"/>
    <row r="226" ht="46" customHeight="1"/>
    <row r="227" ht="46" customHeight="1"/>
    <row r="228" ht="46" customHeight="1"/>
    <row r="229" ht="46" customHeight="1"/>
    <row r="230" ht="46" customHeight="1"/>
    <row r="231" ht="46" customHeight="1"/>
    <row r="232" ht="46" customHeight="1"/>
    <row r="233" ht="46" customHeight="1"/>
    <row r="234" ht="46" customHeight="1"/>
    <row r="235" ht="46" customHeight="1"/>
    <row r="236" ht="46" customHeight="1"/>
    <row r="237" ht="46" customHeight="1"/>
    <row r="238" ht="46" customHeight="1"/>
    <row r="239" ht="46" customHeight="1"/>
    <row r="240" ht="46" customHeight="1"/>
    <row r="241" ht="46" customHeight="1"/>
    <row r="242" ht="46" customHeight="1"/>
    <row r="243" ht="46" customHeight="1"/>
    <row r="244" ht="46" customHeight="1"/>
    <row r="245" ht="46" customHeight="1"/>
    <row r="246" ht="46" customHeight="1"/>
    <row r="247" ht="46" customHeight="1"/>
    <row r="248" ht="46" customHeight="1"/>
    <row r="249" ht="46" customHeight="1"/>
    <row r="250" ht="46" customHeight="1"/>
    <row r="251" ht="46" customHeight="1"/>
    <row r="252" ht="46" customHeight="1"/>
    <row r="253" ht="46" customHeight="1"/>
    <row r="254" ht="46" customHeight="1"/>
    <row r="255" ht="46" customHeight="1"/>
    <row r="256" ht="46" customHeight="1"/>
    <row r="257" ht="46" customHeight="1"/>
    <row r="258" ht="46" customHeight="1"/>
    <row r="259" ht="46" customHeight="1"/>
    <row r="260" ht="46" customHeight="1"/>
    <row r="261" ht="46" customHeight="1"/>
    <row r="262" ht="46" customHeight="1"/>
    <row r="263" ht="46" customHeight="1"/>
    <row r="264" ht="46" customHeight="1"/>
    <row r="265" ht="46" customHeight="1"/>
    <row r="266" ht="46" customHeight="1"/>
    <row r="267" ht="46" customHeight="1"/>
    <row r="268" ht="46" customHeight="1"/>
    <row r="269" ht="46" customHeight="1"/>
    <row r="270" ht="46" customHeight="1"/>
    <row r="271" ht="46" customHeight="1"/>
    <row r="272" ht="46" customHeight="1"/>
    <row r="273" ht="46" customHeight="1"/>
    <row r="274" ht="46" customHeight="1"/>
    <row r="275" ht="46" customHeight="1"/>
    <row r="276" ht="46" customHeight="1"/>
    <row r="277" ht="46" customHeight="1"/>
    <row r="278" ht="46" customHeight="1"/>
    <row r="279" ht="46" customHeight="1"/>
    <row r="280" ht="46" customHeight="1"/>
    <row r="281" ht="46" customHeight="1"/>
    <row r="282" ht="46" customHeight="1"/>
    <row r="283" ht="46" customHeight="1"/>
    <row r="284" ht="46" customHeight="1"/>
    <row r="285" ht="46" customHeight="1"/>
    <row r="286" ht="46" customHeight="1"/>
    <row r="287" ht="46" customHeight="1"/>
    <row r="288" ht="46" customHeight="1"/>
    <row r="289" ht="46" customHeight="1"/>
    <row r="290" ht="46" customHeight="1"/>
    <row r="291" ht="46" customHeight="1"/>
    <row r="292" ht="46" customHeight="1"/>
    <row r="293" ht="46" customHeight="1"/>
    <row r="294" ht="46" customHeight="1"/>
    <row r="295" ht="46" customHeight="1"/>
    <row r="296" ht="46" customHeight="1"/>
    <row r="297" ht="46" customHeight="1"/>
    <row r="298" ht="46" customHeight="1"/>
    <row r="299" ht="46" customHeight="1"/>
    <row r="300" ht="46" customHeight="1"/>
    <row r="301" ht="46" customHeight="1"/>
    <row r="302" ht="46" customHeight="1"/>
    <row r="303" ht="46" customHeight="1"/>
    <row r="304" ht="46" customHeight="1"/>
    <row r="305" ht="46" customHeight="1"/>
    <row r="306" ht="46" customHeight="1"/>
    <row r="307" ht="46" customHeight="1"/>
    <row r="308" ht="46" customHeight="1"/>
    <row r="309" ht="46" customHeight="1"/>
    <row r="310" ht="46" customHeight="1"/>
    <row r="311" ht="46" customHeight="1"/>
    <row r="312" ht="46" customHeight="1"/>
    <row r="313" ht="46" customHeight="1"/>
    <row r="314" ht="46" customHeight="1"/>
    <row r="315" ht="46" customHeight="1"/>
    <row r="316" ht="46" customHeight="1"/>
    <row r="317" ht="46" customHeight="1"/>
    <row r="318" ht="46" customHeight="1"/>
    <row r="319" ht="46" customHeight="1"/>
    <row r="320" ht="46" customHeight="1"/>
    <row r="321" ht="46" customHeight="1"/>
    <row r="322" ht="46" customHeight="1"/>
    <row r="323" ht="46" customHeight="1"/>
    <row r="324" ht="46" customHeight="1"/>
    <row r="325" ht="46" customHeight="1"/>
    <row r="326" ht="46" customHeight="1"/>
    <row r="327" ht="46" customHeight="1"/>
    <row r="328" ht="46" customHeight="1"/>
    <row r="329" ht="46" customHeight="1"/>
    <row r="330" ht="46" customHeight="1"/>
    <row r="331" ht="46" customHeight="1"/>
    <row r="332" ht="46" customHeight="1"/>
    <row r="333" ht="46" customHeight="1"/>
    <row r="334" ht="46" customHeight="1"/>
    <row r="335" ht="46" customHeight="1"/>
    <row r="336" ht="46" customHeight="1"/>
    <row r="337" ht="46" customHeight="1"/>
    <row r="338" ht="46" customHeight="1"/>
    <row r="339" ht="46" customHeight="1"/>
    <row r="340" ht="46" customHeight="1"/>
    <row r="341" ht="46" customHeight="1"/>
    <row r="342" ht="46" customHeight="1"/>
    <row r="343" ht="46" customHeight="1"/>
    <row r="344" ht="46" customHeight="1"/>
    <row r="345" ht="46" customHeight="1"/>
    <row r="346" ht="46" customHeight="1"/>
    <row r="347" ht="46" customHeight="1"/>
    <row r="348" ht="46" customHeight="1"/>
    <row r="349" ht="46" customHeight="1"/>
    <row r="350" ht="46" customHeight="1"/>
    <row r="351" ht="46" customHeight="1"/>
    <row r="352" ht="46" customHeight="1"/>
    <row r="353" ht="46" customHeight="1"/>
    <row r="354" ht="46" customHeight="1"/>
    <row r="355" ht="46" customHeight="1"/>
    <row r="356" ht="46" customHeight="1"/>
    <row r="357" ht="46" customHeight="1"/>
    <row r="358" ht="46" customHeight="1"/>
    <row r="359" ht="46" customHeight="1"/>
    <row r="360" ht="46" customHeight="1"/>
    <row r="361" ht="46" customHeight="1"/>
    <row r="362" ht="46" customHeight="1"/>
    <row r="363" ht="46" customHeight="1"/>
    <row r="364" ht="46" customHeight="1"/>
    <row r="365" ht="46" customHeight="1"/>
    <row r="366" ht="46" customHeight="1"/>
    <row r="367" ht="46" customHeight="1"/>
    <row r="368" ht="46" customHeight="1"/>
    <row r="369" ht="46" customHeight="1"/>
    <row r="370" ht="46" customHeight="1"/>
    <row r="371" ht="46" customHeight="1"/>
    <row r="372" ht="46" customHeight="1"/>
    <row r="373" ht="46" customHeight="1"/>
    <row r="374" ht="46" customHeight="1"/>
    <row r="375" ht="46" customHeight="1"/>
    <row r="376" ht="46" customHeight="1"/>
    <row r="377" ht="46" customHeight="1"/>
    <row r="378" ht="46" customHeight="1"/>
    <row r="379" ht="46" customHeight="1"/>
    <row r="380" ht="46" customHeight="1"/>
    <row r="381" ht="46" customHeight="1"/>
    <row r="382" ht="46" customHeight="1"/>
    <row r="383" ht="46" customHeight="1"/>
    <row r="384" ht="46" customHeight="1"/>
    <row r="385" ht="46" customHeight="1"/>
    <row r="386" ht="46" customHeight="1"/>
    <row r="387" ht="46" customHeight="1"/>
    <row r="388" ht="46" customHeight="1"/>
    <row r="389" ht="46" customHeight="1"/>
    <row r="390" ht="46" customHeight="1"/>
    <row r="391" ht="46" customHeight="1"/>
    <row r="392" ht="46" customHeight="1"/>
    <row r="393" ht="46" customHeight="1"/>
    <row r="394" ht="46" customHeight="1"/>
  </sheetData>
  <autoFilter xmlns:etc="http://www.wps.cn/officeDocument/2017/etCustomData" ref="A2:K148" etc:filterBottomFollowUsedRange="0">
    <extLst/>
  </autoFilter>
  <mergeCells count="1">
    <mergeCell ref="A1:K1"/>
  </mergeCells>
  <conditionalFormatting sqref="D3:D148">
    <cfRule type="cellIs" dxfId="0" priority="5" operator="equal">
      <formula>"High"</formula>
    </cfRule>
    <cfRule type="cellIs" dxfId="1" priority="6" operator="equal">
      <formula>"Medium"</formula>
    </cfRule>
    <cfRule type="cellIs" dxfId="2" priority="7" operator="equal">
      <formula>"Low"</formula>
    </cfRule>
  </conditionalFormatting>
  <conditionalFormatting sqref="J3:J148">
    <cfRule type="cellIs" dxfId="3" priority="1" operator="equal">
      <formula>"Pass"</formula>
    </cfRule>
    <cfRule type="cellIs" dxfId="0" priority="2" operator="equal">
      <formula>"Fail"</formula>
    </cfRule>
    <cfRule type="cellIs" dxfId="4" priority="3" operator="equal">
      <formula>"Blocked"</formula>
    </cfRule>
    <cfRule type="cellIs" dxfId="5" priority="4" operator="equal">
      <formula>"Not Run"</formula>
    </cfRule>
    <cfRule type="cellIs" dxfId="6" priority="15" operator="equal">
      <formula>"Skipped"</formula>
    </cfRule>
    <cfRule type="cellIs" dxfId="6" priority="17" operator="equal">
      <formula>"Skipped"</formula>
    </cfRule>
  </conditionalFormatting>
  <dataValidations count="2">
    <dataValidation type="list" allowBlank="1" sqref="D3:D148">
      <formula1>"High,Medium,Low"</formula1>
    </dataValidation>
    <dataValidation type="list" allowBlank="1" errorTitle="Invalid status" error="Choose a value from the list" sqref="J3:J148">
      <formula1>"Not Run,Pass,Fail,Skipped,Blocked,N/A"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D6A4F"/>
  </sheetPr>
  <dimension ref="B2:C10"/>
  <sheetViews>
    <sheetView showGridLines="0" workbookViewId="0">
      <selection activeCell="A1" sqref="A1"/>
    </sheetView>
  </sheetViews>
  <sheetFormatPr defaultColWidth="9" defaultRowHeight="14.5" outlineLevelCol="2"/>
  <cols>
    <col min="1" max="1" width="3" customWidth="1"/>
    <col min="2" max="2" width="26" customWidth="1"/>
    <col min="3" max="3" width="80" customWidth="1"/>
  </cols>
  <sheetData>
    <row r="2" ht="18" customHeight="1" spans="2:3">
      <c r="B2" s="1" t="s">
        <v>585</v>
      </c>
    </row>
    <row r="4" ht="32" customHeight="1" spans="2:3">
      <c r="B4" s="2" t="s">
        <v>586</v>
      </c>
      <c r="C4" s="3" t="s">
        <v>587</v>
      </c>
    </row>
    <row r="5" ht="32" customHeight="1" spans="2:3">
      <c r="B5" s="2" t="s">
        <v>12</v>
      </c>
      <c r="C5" s="3" t="s">
        <v>588</v>
      </c>
    </row>
    <row r="6" ht="32" customHeight="1" spans="2:3">
      <c r="B6" s="2" t="s">
        <v>589</v>
      </c>
      <c r="C6" s="3" t="s">
        <v>590</v>
      </c>
    </row>
    <row r="7" ht="32" customHeight="1" spans="2:3">
      <c r="B7" s="2" t="s">
        <v>11</v>
      </c>
      <c r="C7" s="3" t="s">
        <v>591</v>
      </c>
    </row>
    <row r="8" ht="32" customHeight="1" spans="2:3">
      <c r="B8" s="2" t="s">
        <v>41</v>
      </c>
      <c r="C8" s="3" t="s">
        <v>592</v>
      </c>
    </row>
    <row r="9" ht="32" customHeight="1" spans="2:3">
      <c r="B9" s="2" t="s">
        <v>593</v>
      </c>
      <c r="C9" s="3" t="s">
        <v>594</v>
      </c>
    </row>
    <row r="10" ht="32" customHeight="1" spans="2:3">
      <c r="B10" s="2" t="s">
        <v>595</v>
      </c>
      <c r="C10" s="3" t="s">
        <v>596</v>
      </c>
    </row>
  </sheetData>
  <mergeCells count="1">
    <mergeCell ref="B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Dashboard</vt:lpstr>
      <vt:lpstr>Test Cases</vt:lpstr>
      <vt:lpstr>Legend &amp; Scope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paul argenio</cp:lastModifiedBy>
  <dcterms:created xsi:type="dcterms:W3CDTF">2026-09-23T02:15:00Z</dcterms:created>
  <dcterms:modified xsi:type="dcterms:W3CDTF">2026-09-23T05:46:51Z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4A86C4AFFFB94B9DAEDB558014542825_12</vt:lpwstr>
  </property>
  <property fmtid="{D5CDD505-2E9C-101B-9397-08002B2CF9AE}" pid="3" name="KSOProductBuildVer">
    <vt:lpwstr>1033-12.1.0.24752</vt:lpwstr>
  </property>
  <property fmtid="{D5CDD505-2E9C-101B-9397-08002B2CF9AE}" pid="4" name="CalculationRule">
    <vt:i4>0</vt:i4>
  </property>
</Properties>
</file>